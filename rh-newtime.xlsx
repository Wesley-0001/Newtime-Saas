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250.52.132\New Time\PCP\"/>
    </mc:Choice>
  </mc:AlternateContent>
  <xr:revisionPtr revIDLastSave="0" documentId="8_{520F5C68-2747-4F73-8048-B35C90F49FE6}" xr6:coauthVersionLast="47" xr6:coauthVersionMax="47" xr10:uidLastSave="{00000000-0000-0000-0000-000000000000}"/>
  <bookViews>
    <workbookView xWindow="-120" yWindow="-120" windowWidth="29040" windowHeight="16440" xr2:uid="{5009EE4E-2034-41DC-8854-E6572B632A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0" i="1" l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5" i="1"/>
  <c r="J164" i="1"/>
  <c r="J163" i="1"/>
  <c r="J162" i="1"/>
  <c r="J161" i="1"/>
  <c r="J160" i="1"/>
  <c r="J159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<sst xmlns="http://schemas.openxmlformats.org/spreadsheetml/2006/main" count="1259" uniqueCount="292">
  <si>
    <t>MATRÍCULA</t>
  </si>
  <si>
    <t>COLABORADOR</t>
  </si>
  <si>
    <t>SITUAÇÃO</t>
  </si>
  <si>
    <t>JORNADA</t>
  </si>
  <si>
    <t>MATRIZ</t>
  </si>
  <si>
    <t>CARGO</t>
  </si>
  <si>
    <t>HORÁRIO</t>
  </si>
  <si>
    <t>LÍDER</t>
  </si>
  <si>
    <t>ADMISSÃO</t>
  </si>
  <si>
    <t>DIAS DE CONTRATO</t>
  </si>
  <si>
    <t>DEMISSÃO</t>
  </si>
  <si>
    <t>NASCIMENTO</t>
  </si>
  <si>
    <t>Ademir Romero Cassemiro</t>
  </si>
  <si>
    <t>ATIVO</t>
  </si>
  <si>
    <t>CLT</t>
  </si>
  <si>
    <t>NT-JX</t>
  </si>
  <si>
    <t>Supervisor de Estoque/Expedição</t>
  </si>
  <si>
    <t>Seg à Sex 07:30 às 17:00</t>
  </si>
  <si>
    <t>Vinícios</t>
  </si>
  <si>
    <t>Adriano Ney Baccari</t>
  </si>
  <si>
    <t>DESLIGADO</t>
  </si>
  <si>
    <t>Supervisor de Designer e Vendas</t>
  </si>
  <si>
    <t>Patrícia</t>
  </si>
  <si>
    <t>Alessandro Silva Araujo</t>
  </si>
  <si>
    <t>NT</t>
  </si>
  <si>
    <t>Ajudante de Produção</t>
  </si>
  <si>
    <t>Toni</t>
  </si>
  <si>
    <t xml:space="preserve">Alex Antonio dos Santos </t>
  </si>
  <si>
    <t xml:space="preserve">Ajudante de Produção </t>
  </si>
  <si>
    <t>Escala 12x36 - Diurno 07:30 às 19:30</t>
  </si>
  <si>
    <t>Samuel</t>
  </si>
  <si>
    <t>FÉRIAS</t>
  </si>
  <si>
    <t>Alexandre Germini de Souza</t>
  </si>
  <si>
    <t>Ajudante Geral</t>
  </si>
  <si>
    <t>Wesley Reis</t>
  </si>
  <si>
    <t>Alexsander Silva de Araujo</t>
  </si>
  <si>
    <t>PJ</t>
  </si>
  <si>
    <t>Designer Gráfico</t>
  </si>
  <si>
    <t>Freelancer</t>
  </si>
  <si>
    <t>Adriano</t>
  </si>
  <si>
    <t>Alison Ribeiro da Silva</t>
  </si>
  <si>
    <t xml:space="preserve">Operador de Calandra </t>
  </si>
  <si>
    <t>Escala 12x36 - Noturno 07:30 às 19:30</t>
  </si>
  <si>
    <t xml:space="preserve">Ana Beatriz de Sá </t>
  </si>
  <si>
    <t>Auxiliar de RH/DP</t>
  </si>
  <si>
    <t>Carlos</t>
  </si>
  <si>
    <t>Ana Karoline Silva Camilo</t>
  </si>
  <si>
    <t xml:space="preserve">Ajudante Geral </t>
  </si>
  <si>
    <t>Seg à Qui 07:30 às 17:00 e Sex até 16:30</t>
  </si>
  <si>
    <t>Ademir</t>
  </si>
  <si>
    <t>Anderson de Almeida Ferreira</t>
  </si>
  <si>
    <t>Seg à Qui 7:30 às 17:00 e Sex até 16:30</t>
  </si>
  <si>
    <t>André Rocha Ramalho</t>
  </si>
  <si>
    <t>Líder de Impressão</t>
  </si>
  <si>
    <t>Seg à Qui 09:30 às 17:30 e Sex até 16:30</t>
  </si>
  <si>
    <t>Andrew de Jesus Freitas dos Santos</t>
  </si>
  <si>
    <t>Vendedor 1</t>
  </si>
  <si>
    <t>Seg à Sex 08:00 às 17:00 Sáb 08:00 às 12:00</t>
  </si>
  <si>
    <t>Ayrton Vegas de Souza</t>
  </si>
  <si>
    <t>Ajudante Produção</t>
  </si>
  <si>
    <t>André</t>
  </si>
  <si>
    <t xml:space="preserve">Brener Neves da Silva </t>
  </si>
  <si>
    <t>Davi</t>
  </si>
  <si>
    <t>Breno Vinicius Gonçalves dos Santos</t>
  </si>
  <si>
    <t>Bruna Pereira Barranco</t>
  </si>
  <si>
    <t>Impressor Digital</t>
  </si>
  <si>
    <t>Fernanda</t>
  </si>
  <si>
    <t>Bruno Cruz Oliveira dos Santos</t>
  </si>
  <si>
    <t>Seg à Sex 07:30 às 16:30 Sáb 07:30 às 11:00</t>
  </si>
  <si>
    <t>Guilherme</t>
  </si>
  <si>
    <t>Bruno Henrique de Carvalho</t>
  </si>
  <si>
    <t>Heleno</t>
  </si>
  <si>
    <t xml:space="preserve">Bruno Mesquita dos Reis </t>
  </si>
  <si>
    <t xml:space="preserve">Caio Felipe Fernandes Silva </t>
  </si>
  <si>
    <t>Renato</t>
  </si>
  <si>
    <t xml:space="preserve">Caio Santos Cunha </t>
  </si>
  <si>
    <t>Operador de Calandra 2</t>
  </si>
  <si>
    <t>Rogério</t>
  </si>
  <si>
    <t>Carlos Aparecido Onofre Junior</t>
  </si>
  <si>
    <t>Carlos Eduardo Silva</t>
  </si>
  <si>
    <t>Gerente Administrativo de Processos</t>
  </si>
  <si>
    <t>Art. 62</t>
  </si>
  <si>
    <t>Carlos Henrique Pires de Lima</t>
  </si>
  <si>
    <t>Operador de Calandra 1</t>
  </si>
  <si>
    <t>Carlos Xu</t>
  </si>
  <si>
    <t>Assistente Administrativo</t>
  </si>
  <si>
    <t>Wesley Cruz</t>
  </si>
  <si>
    <t xml:space="preserve">Charlene Gomes de Oliveira </t>
  </si>
  <si>
    <t>Supervisora de Departamento Pessoal</t>
  </si>
  <si>
    <t xml:space="preserve">Cleber Ferreira da Silva </t>
  </si>
  <si>
    <t>Cleiton Silva de Oliveira</t>
  </si>
  <si>
    <t>Revisor 2</t>
  </si>
  <si>
    <t>Davi Cunha Alves de Araújo</t>
  </si>
  <si>
    <t>Revisor 1</t>
  </si>
  <si>
    <t>Davi de Medeiros Marcelino</t>
  </si>
  <si>
    <t>Supervisor de Produção</t>
  </si>
  <si>
    <t xml:space="preserve">Davi Henrique do Amaral Campos </t>
  </si>
  <si>
    <t xml:space="preserve">David De Faria Santos </t>
  </si>
  <si>
    <t>David Leandro Silva Santos</t>
  </si>
  <si>
    <t>David Neimer da Silva Coelho</t>
  </si>
  <si>
    <t xml:space="preserve">Debora de Andrade Oliveira </t>
  </si>
  <si>
    <t>Assistente Administrativo JR</t>
  </si>
  <si>
    <t>Dennis William Jesus de Souza</t>
  </si>
  <si>
    <t xml:space="preserve">Auxiliar de logistica </t>
  </si>
  <si>
    <t>Seg à Qui 07:00 às 17:00 e Sex até 16:00</t>
  </si>
  <si>
    <t>Diego Cicero de Souza Maciel</t>
  </si>
  <si>
    <t>Diego Oliveira Sousa</t>
  </si>
  <si>
    <t xml:space="preserve">Diego Shismytt Galvão </t>
  </si>
  <si>
    <t>Diego Silva de Freitas Rocha</t>
  </si>
  <si>
    <t xml:space="preserve">Trabalhador de manutenção de Edificações </t>
  </si>
  <si>
    <t>Douglas da Silva Chaves</t>
  </si>
  <si>
    <t>Vendedor</t>
  </si>
  <si>
    <t xml:space="preserve">Ed Carlos Costa das Virgens </t>
  </si>
  <si>
    <t>Edson Zhu</t>
  </si>
  <si>
    <t>Eduarda Costa Pires</t>
  </si>
  <si>
    <t>Elisa Akemi Tanaka</t>
  </si>
  <si>
    <t>Designer Gráfico Júnior</t>
  </si>
  <si>
    <t>Enzo Pompeu da Silva</t>
  </si>
  <si>
    <t>Estágiário de PCP</t>
  </si>
  <si>
    <t>Seg à Sex 13:00 às 18:00</t>
  </si>
  <si>
    <t>Euclides Barbosa Neto</t>
  </si>
  <si>
    <t xml:space="preserve">Trabalhador da manutenção de Edificações </t>
  </si>
  <si>
    <t>Evelyn Vitória Vieira Lino</t>
  </si>
  <si>
    <t xml:space="preserve">Auxiliar de Limpeza </t>
  </si>
  <si>
    <t>Everton Silva Santos</t>
  </si>
  <si>
    <t>Everton Vegas</t>
  </si>
  <si>
    <t xml:space="preserve">Ewerton Araújo Lima </t>
  </si>
  <si>
    <t>Fabio Geronimo Lima Pereira</t>
  </si>
  <si>
    <t>Felipe Fernandes Lopes</t>
  </si>
  <si>
    <t xml:space="preserve">Felipe Fontes Fernandes </t>
  </si>
  <si>
    <t>Felipe José da Silva</t>
  </si>
  <si>
    <t>Felipe Siqueira de Lima</t>
  </si>
  <si>
    <t>Fernanda Rezende de Queiroz</t>
  </si>
  <si>
    <t xml:space="preserve">Analista Administrativa Senior </t>
  </si>
  <si>
    <t>Fernando Henrique Soares dos Santos</t>
  </si>
  <si>
    <t>Assistende de vendas</t>
  </si>
  <si>
    <t>Flávia Karolina Trindade Souto</t>
  </si>
  <si>
    <t>Assistente de Recrutamento e Seleção</t>
  </si>
  <si>
    <t>Gabriel Moreira Leme Bustamante</t>
  </si>
  <si>
    <t>Supervisor Designer</t>
  </si>
  <si>
    <t>Gabriel Ribeiro da Silva</t>
  </si>
  <si>
    <t>Gabriel Rodrigues de Franca</t>
  </si>
  <si>
    <t>Gabriela Dimarzio</t>
  </si>
  <si>
    <t>Designer Gráfico Pleno</t>
  </si>
  <si>
    <t>Gaspar Freires Soares de Paiva</t>
  </si>
  <si>
    <t>Grace Kelly Scapim Pinto</t>
  </si>
  <si>
    <t>Supervisora de RH/DP</t>
  </si>
  <si>
    <t xml:space="preserve">Guhan Tang </t>
  </si>
  <si>
    <t>NT-CH</t>
  </si>
  <si>
    <t xml:space="preserve">Analista de Negócios </t>
  </si>
  <si>
    <t>Guilherme de Oliveira Capusso</t>
  </si>
  <si>
    <t>Supervisor de Facilites</t>
  </si>
  <si>
    <t>Guilherme Ferreira Torres</t>
  </si>
  <si>
    <t>Guilherme Pereira Alves de Sousa</t>
  </si>
  <si>
    <t>Impressor Digital 2</t>
  </si>
  <si>
    <t>Gustavo Cardoso da Silva</t>
  </si>
  <si>
    <t>Ajudante de Expedição 2</t>
  </si>
  <si>
    <t>Gustavo Henrique Oliveira Albuquerque</t>
  </si>
  <si>
    <t xml:space="preserve">Gustavo Marques Lima </t>
  </si>
  <si>
    <t>Gustavo Souza do Nascimento</t>
  </si>
  <si>
    <t xml:space="preserve">Assistente de Operações </t>
  </si>
  <si>
    <t>Heleno Ramos Crerencio</t>
  </si>
  <si>
    <t xml:space="preserve">Henri Souza Santos </t>
  </si>
  <si>
    <t xml:space="preserve">Henrique da Silva Santos </t>
  </si>
  <si>
    <t>Seg à Sex 08:00 às 17:00</t>
  </si>
  <si>
    <t xml:space="preserve">Herbert de Santana </t>
  </si>
  <si>
    <t>Hernes Gabriel Martinez Colmenares</t>
  </si>
  <si>
    <t>Higor dos Santos Palmeira Brandão</t>
  </si>
  <si>
    <t>Hildon de Oliveira Rocha</t>
  </si>
  <si>
    <t xml:space="preserve">Hugo Augusto dos Santos Silva </t>
  </si>
  <si>
    <t>Impressor Digital 1</t>
  </si>
  <si>
    <t>Igor Lima Borges</t>
  </si>
  <si>
    <t>Seg à Sex 08:30 às 18:00</t>
  </si>
  <si>
    <t>Ingryd Manuella Barreto</t>
  </si>
  <si>
    <t>Assistente de Departamento Pessoal</t>
  </si>
  <si>
    <t>Seg à Sex 09:30 às 19:00</t>
  </si>
  <si>
    <t>Ivan Costa Fernandes</t>
  </si>
  <si>
    <t>Jackson Almeida da Silva</t>
  </si>
  <si>
    <t>Seg à Sex 08:00 às 15:00 Sáb 08:00 às 12:00</t>
  </si>
  <si>
    <t>Jefferson de Faria Pereira</t>
  </si>
  <si>
    <t>Jefferson Lucas Souza Sorentino</t>
  </si>
  <si>
    <t>Jéssica Berigo Valentim Pereira</t>
  </si>
  <si>
    <t xml:space="preserve">Jie Ding </t>
  </si>
  <si>
    <t>João Gabriel Souza Lima</t>
  </si>
  <si>
    <t>João Marcos da Silva</t>
  </si>
  <si>
    <t xml:space="preserve">João Pedro Faria dos Santos </t>
  </si>
  <si>
    <t>João Victor da Costa Silva/Stephany Machado Coimbra de Macedo Ayres</t>
  </si>
  <si>
    <t xml:space="preserve">Joelson Nascimento dos Santos </t>
  </si>
  <si>
    <t>Johnny de Melo Jorge</t>
  </si>
  <si>
    <t>Johnny Wallace Cruz de Souza</t>
  </si>
  <si>
    <t>Jonatan dos Santos Silva</t>
  </si>
  <si>
    <t>Jonathan Almeida de Carvalho</t>
  </si>
  <si>
    <t>Jonathan Araújo Jesus Dos Santos</t>
  </si>
  <si>
    <t xml:space="preserve">Jonathan Henrique Rodrigues da Silva </t>
  </si>
  <si>
    <t>José Henrique da Silva Galvão</t>
  </si>
  <si>
    <t>Jose Rogerio da Silva</t>
  </si>
  <si>
    <t xml:space="preserve">Supervisor de Produção </t>
  </si>
  <si>
    <t>Josué Ferreira Alves</t>
  </si>
  <si>
    <t>Ajudante Geral 1</t>
  </si>
  <si>
    <t>Kaik Garcia</t>
  </si>
  <si>
    <t>Leandro Jorge da Fonseca</t>
  </si>
  <si>
    <t>1/2 Oficial de Manutenção</t>
  </si>
  <si>
    <t>Leonardo Osmola Molozzi</t>
  </si>
  <si>
    <t>Leonardo Ribeiro de Sousa</t>
  </si>
  <si>
    <t>Lorrane Lacerda Lima</t>
  </si>
  <si>
    <t>Atendente</t>
  </si>
  <si>
    <t xml:space="preserve">Luan de França Silva </t>
  </si>
  <si>
    <t>Lucas Alves da Costa</t>
  </si>
  <si>
    <t>Lucas Gabriel Cruz dos Santos</t>
  </si>
  <si>
    <t>Lucas Matheus Gomes Ferreira Domingues</t>
  </si>
  <si>
    <t>Lucas Oliveira de Souza</t>
  </si>
  <si>
    <t xml:space="preserve">Lucas Pereira Silva </t>
  </si>
  <si>
    <t xml:space="preserve">Lucas Rios do Nascimento </t>
  </si>
  <si>
    <t>Ajudante de Expedição</t>
  </si>
  <si>
    <t>Lucas Rodrigues Da Silva</t>
  </si>
  <si>
    <t>Luis Carlos dos Santos Junior</t>
  </si>
  <si>
    <t>Luiz Alberto Morais Simon</t>
  </si>
  <si>
    <t>Marcio Alencar de Azevedo</t>
  </si>
  <si>
    <t xml:space="preserve">Marcos Vinicios Abade de Sousa </t>
  </si>
  <si>
    <t xml:space="preserve">Marcos Vinícios Abade de Sousa </t>
  </si>
  <si>
    <t xml:space="preserve">Marcos Wiliam Firmino Morais </t>
  </si>
  <si>
    <t>Ajudade de Produção</t>
  </si>
  <si>
    <t xml:space="preserve">Marcus Vinícius Dias Cunhas </t>
  </si>
  <si>
    <t>Assistente de PCP</t>
  </si>
  <si>
    <t>Mateus Gabriel Pereira de Oliveira</t>
  </si>
  <si>
    <t>Matheus Guimarães Oliveira</t>
  </si>
  <si>
    <t>Matheus Santos Carneiro</t>
  </si>
  <si>
    <t>Melissa Kristina dos Santos</t>
  </si>
  <si>
    <t>Vendedora</t>
  </si>
  <si>
    <t>Miguel Abade Almeida de Araujo</t>
  </si>
  <si>
    <t>Miguel Lucas Barbosa</t>
  </si>
  <si>
    <t>Mihara Lorrana Medeiros Rodrigues</t>
  </si>
  <si>
    <t>Murillo Ribeiro Meneses</t>
  </si>
  <si>
    <t xml:space="preserve">Murilo Mauricio de Melo </t>
  </si>
  <si>
    <t xml:space="preserve">Nadir Maria dos Santos </t>
  </si>
  <si>
    <t>Nicolas Correa Mariano</t>
  </si>
  <si>
    <t>Pamela Gonçalves Moreira</t>
  </si>
  <si>
    <t xml:space="preserve">Analista de Recursos Humanos Junior </t>
  </si>
  <si>
    <t>Paulo Antonio da Silva Nascimento</t>
  </si>
  <si>
    <t>Pedro Henrique Castro Silva</t>
  </si>
  <si>
    <t>Rafael Gabriel Moraes</t>
  </si>
  <si>
    <t>Rayan Nazario da Silva</t>
  </si>
  <si>
    <t>Revisor</t>
  </si>
  <si>
    <t>Reginaldo Floriano dos Santos</t>
  </si>
  <si>
    <t xml:space="preserve">Renan Oliveira da Silva </t>
  </si>
  <si>
    <t xml:space="preserve">Renato Rodrigues Gomes </t>
  </si>
  <si>
    <t>Renato Silva Domingues</t>
  </si>
  <si>
    <t>Operador de Calandra 3</t>
  </si>
  <si>
    <t>Robert Ramos de Oliveira</t>
  </si>
  <si>
    <t>Ajudante Geral 2</t>
  </si>
  <si>
    <t xml:space="preserve">Robson David Ferreira Souza Santos </t>
  </si>
  <si>
    <t>Rodolfo Figueiredo</t>
  </si>
  <si>
    <t>Rodrigo do Nascimento Rangel</t>
  </si>
  <si>
    <t>Rogerio de Andrade Quadros</t>
  </si>
  <si>
    <t>Ronaldo dos Santos Ramos</t>
  </si>
  <si>
    <t>Roniere Carneiro Lima</t>
  </si>
  <si>
    <t>Rosemeire Halcsick</t>
  </si>
  <si>
    <t xml:space="preserve">Líder de Produção </t>
  </si>
  <si>
    <t>Samuel de Carvalho Bandez</t>
  </si>
  <si>
    <t>Samuel Martins Silva</t>
  </si>
  <si>
    <t>Shirlene Vieira Lino</t>
  </si>
  <si>
    <t xml:space="preserve">Shirley Lopes Gomes </t>
  </si>
  <si>
    <t xml:space="preserve">Faxineira </t>
  </si>
  <si>
    <t>Silvia Francisca Vilela</t>
  </si>
  <si>
    <t>Sophia Cavichia da Silva</t>
  </si>
  <si>
    <t>Assistente de Processos</t>
  </si>
  <si>
    <t>Thaís de Cillo Silveira</t>
  </si>
  <si>
    <t>Tiago de Souza Oliveira</t>
  </si>
  <si>
    <t xml:space="preserve">Tiago Pedro da Silva </t>
  </si>
  <si>
    <t xml:space="preserve">Ajudante de Expedição </t>
  </si>
  <si>
    <t xml:space="preserve">Tiago Pires de Sousa </t>
  </si>
  <si>
    <t>Toni Carlos Conceição Amorim</t>
  </si>
  <si>
    <t>Consultor</t>
  </si>
  <si>
    <t>Valmir</t>
  </si>
  <si>
    <t>Victor Dias Taveira</t>
  </si>
  <si>
    <t>Victor Hugo Matos Barbosa</t>
  </si>
  <si>
    <t>Vinicios de Oliveira Rios</t>
  </si>
  <si>
    <t>Vitor Claudino Fidalgo</t>
  </si>
  <si>
    <t xml:space="preserve">Vitor Claudio Barreira Tedaldi </t>
  </si>
  <si>
    <t xml:space="preserve">Vendedor </t>
  </si>
  <si>
    <t xml:space="preserve">Vitor da Silva Mauro </t>
  </si>
  <si>
    <t>Vitor Henrique Bezerra da Silva</t>
  </si>
  <si>
    <t>Vitor Reyel Soares Lopes</t>
  </si>
  <si>
    <t>Wei Zhou</t>
  </si>
  <si>
    <t>Wendel Rocha Lockmann</t>
  </si>
  <si>
    <t>Wesley Brandão dos Santos</t>
  </si>
  <si>
    <t>Expedidor de Mercadorias</t>
  </si>
  <si>
    <t>Wesley Reis da Silva</t>
  </si>
  <si>
    <t>Encarregado de Expedição</t>
  </si>
  <si>
    <t>Wesley Vitor Souza Cruz</t>
  </si>
  <si>
    <t>Supervisor de PCP</t>
  </si>
  <si>
    <t xml:space="preserve">Yuri Gomes Cardoso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</si>
</sst>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6" formatCode="00000\-000"/>
    <numFmt numFmtId="170" formatCode="00000000000"/>
  </numFmts>
  <fonts count="6" x14ac:knownFonts="1">
    <font>
      <sz val="11"/>
      <color theme="1"/>
      <name val="Calibri"/>
      <family val="2"/>
      <scheme val="minor"/>
    </font>
    <font>
      <b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5C8299"/>
        <bgColor indexed="64"/>
      </patternFill>
    </fill>
    <fill>
      <patternFill patternType="solid">
        <fgColor rgb="FFEB9C5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14" fontId="3" fillId="5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170" fontId="3" fillId="5" borderId="4" xfId="0" applyNumberFormat="1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5">
    <dxf>
      <numFmt numFmtId="30" formatCode="@"/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u/>
        <color rgb="FFFFD7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u val="double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u/>
        <color rgb="FFFFD7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u val="double"/>
        <color rgb="FFC00000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ACF4-DE5D-4D3C-9208-6DFA18A52F1C}">
  <dimension ref="A1:L180"/>
  <sheetViews>
    <sheetView tabSelected="1" workbookViewId="0">
      <selection activeCell="B13" sqref="B13"/>
    </sheetView>
  </sheetViews>
  <sheetFormatPr defaultColWidth="58.28515625" defaultRowHeight="12.75" x14ac:dyDescent="0.25"/>
  <cols>
    <col min="1" max="1" width="15.7109375" style="18" bestFit="1" customWidth="1"/>
    <col min="2" max="2" width="38" style="8" customWidth="1"/>
    <col min="3" max="3" width="15.140625" style="8" bestFit="1" customWidth="1"/>
    <col min="4" max="4" width="14.42578125" style="8" bestFit="1" customWidth="1"/>
    <col min="5" max="5" width="12.42578125" style="8" bestFit="1" customWidth="1"/>
    <col min="6" max="6" width="38.140625" style="8" bestFit="1" customWidth="1"/>
    <col min="7" max="7" width="40.28515625" style="8" bestFit="1" customWidth="1"/>
    <col min="8" max="8" width="21.28515625" style="8" bestFit="1" customWidth="1"/>
    <col min="9" max="9" width="14.28515625" style="20" customWidth="1"/>
    <col min="10" max="10" width="19.28515625" style="22" bestFit="1" customWidth="1"/>
    <col min="11" max="11" width="21.85546875" style="20" bestFit="1" customWidth="1"/>
    <col min="12" max="12" width="21.85546875" style="21" customWidth="1"/>
    <col min="13" max="16384" width="58.28515625" style="9"/>
  </cols>
  <sheetData>
    <row r="1" spans="1:12" s="5" customFormat="1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</row>
    <row r="2" spans="1:12" s="17" customFormat="1" x14ac:dyDescent="0.25">
      <c r="A2" s="6">
        <v>3005</v>
      </c>
      <c r="B2" s="7" t="s">
        <v>12</v>
      </c>
      <c r="C2" s="8" t="s">
        <v>13</v>
      </c>
      <c r="D2" s="8" t="s">
        <v>14</v>
      </c>
      <c r="E2" s="9" t="s">
        <v>15</v>
      </c>
      <c r="F2" s="10" t="s">
        <v>16</v>
      </c>
      <c r="G2" s="9" t="s">
        <v>17</v>
      </c>
      <c r="H2" s="11" t="s">
        <v>18</v>
      </c>
      <c r="I2" s="12">
        <v>45110</v>
      </c>
      <c r="J2" s="13">
        <f ca="1">IF(K2&lt;&gt;"",K2-I2,TODAY()-I2)</f>
        <v>998</v>
      </c>
      <c r="K2" s="14"/>
      <c r="L2" s="12">
        <v>30318</v>
      </c>
    </row>
    <row r="3" spans="1:12" x14ac:dyDescent="0.25">
      <c r="A3" s="18">
        <v>3004</v>
      </c>
      <c r="B3" s="16" t="s">
        <v>19</v>
      </c>
      <c r="C3" s="8" t="s">
        <v>20</v>
      </c>
      <c r="D3" s="8" t="s">
        <v>14</v>
      </c>
      <c r="E3" s="9" t="s">
        <v>15</v>
      </c>
      <c r="F3" s="19" t="s">
        <v>21</v>
      </c>
      <c r="G3" s="9" t="s">
        <v>17</v>
      </c>
      <c r="H3" s="8" t="s">
        <v>22</v>
      </c>
      <c r="I3" s="20">
        <v>45173</v>
      </c>
      <c r="J3" s="13">
        <f ca="1">IF(K3&lt;&gt;"",K3-I3,TODAY()-I3)</f>
        <v>752</v>
      </c>
      <c r="K3" s="20">
        <v>45925</v>
      </c>
      <c r="L3" s="20">
        <v>26730</v>
      </c>
    </row>
    <row r="4" spans="1:12" x14ac:dyDescent="0.25">
      <c r="A4" s="18">
        <v>2113</v>
      </c>
      <c r="B4" s="16" t="s">
        <v>23</v>
      </c>
      <c r="C4" s="8" t="s">
        <v>20</v>
      </c>
      <c r="D4" s="8" t="s">
        <v>14</v>
      </c>
      <c r="E4" s="9" t="s">
        <v>24</v>
      </c>
      <c r="F4" s="11" t="s">
        <v>25</v>
      </c>
      <c r="G4" s="24"/>
      <c r="H4" s="8" t="s">
        <v>26</v>
      </c>
      <c r="I4" s="20">
        <v>45715</v>
      </c>
      <c r="J4" s="13">
        <f ca="1">IF(K4&lt;&gt;"",K4-I4,TODAY()-I4)</f>
        <v>96</v>
      </c>
      <c r="K4" s="20">
        <v>45811</v>
      </c>
      <c r="L4" s="20">
        <v>37217</v>
      </c>
    </row>
    <row r="5" spans="1:12" x14ac:dyDescent="0.25">
      <c r="A5" s="18">
        <v>2061</v>
      </c>
      <c r="B5" s="16" t="s">
        <v>27</v>
      </c>
      <c r="C5" s="8" t="s">
        <v>20</v>
      </c>
      <c r="D5" s="8" t="s">
        <v>14</v>
      </c>
      <c r="E5" s="9" t="s">
        <v>24</v>
      </c>
      <c r="F5" s="11" t="s">
        <v>28</v>
      </c>
      <c r="G5" s="9" t="s">
        <v>29</v>
      </c>
      <c r="H5" s="8" t="s">
        <v>30</v>
      </c>
      <c r="I5" s="20">
        <v>45485</v>
      </c>
      <c r="J5" s="13">
        <f ca="1">IF(K5&lt;&gt;"",K5-I5,TODAY()-I5)</f>
        <v>82</v>
      </c>
      <c r="K5" s="20">
        <v>45567</v>
      </c>
      <c r="L5" s="20">
        <v>34202</v>
      </c>
    </row>
    <row r="6" spans="1:12" x14ac:dyDescent="0.25">
      <c r="A6" s="18">
        <v>2161</v>
      </c>
      <c r="B6" s="16" t="s">
        <v>32</v>
      </c>
      <c r="C6" s="8" t="s">
        <v>20</v>
      </c>
      <c r="D6" s="8" t="s">
        <v>14</v>
      </c>
      <c r="E6" s="9" t="s">
        <v>24</v>
      </c>
      <c r="F6" s="11" t="s">
        <v>33</v>
      </c>
      <c r="G6" s="9" t="s">
        <v>17</v>
      </c>
      <c r="H6" s="8" t="s">
        <v>34</v>
      </c>
      <c r="I6" s="20">
        <v>45992</v>
      </c>
      <c r="J6" s="13">
        <f ca="1">IF(K6&lt;&gt;"",K6-I6,TODAY()-I6)</f>
        <v>116</v>
      </c>
      <c r="K6" s="27"/>
      <c r="L6" s="20">
        <v>36005</v>
      </c>
    </row>
    <row r="7" spans="1:12" x14ac:dyDescent="0.25">
      <c r="A7" s="25"/>
      <c r="B7" s="16" t="s">
        <v>35</v>
      </c>
      <c r="C7" s="8" t="s">
        <v>20</v>
      </c>
      <c r="D7" s="8" t="s">
        <v>36</v>
      </c>
      <c r="E7" s="9" t="s">
        <v>15</v>
      </c>
      <c r="F7" s="19" t="s">
        <v>37</v>
      </c>
      <c r="G7" s="9" t="s">
        <v>38</v>
      </c>
      <c r="H7" s="8" t="s">
        <v>39</v>
      </c>
      <c r="I7" s="27"/>
      <c r="J7" s="27"/>
      <c r="K7" s="27"/>
      <c r="L7" s="28"/>
    </row>
    <row r="8" spans="1:12" x14ac:dyDescent="0.25">
      <c r="A8" s="18">
        <v>2050</v>
      </c>
      <c r="B8" s="16" t="s">
        <v>40</v>
      </c>
      <c r="C8" s="8" t="s">
        <v>20</v>
      </c>
      <c r="D8" s="8" t="s">
        <v>14</v>
      </c>
      <c r="E8" s="9" t="s">
        <v>24</v>
      </c>
      <c r="F8" s="11" t="s">
        <v>41</v>
      </c>
      <c r="G8" s="9" t="s">
        <v>42</v>
      </c>
      <c r="H8" s="8" t="s">
        <v>30</v>
      </c>
      <c r="I8" s="20">
        <v>45439</v>
      </c>
      <c r="J8" s="13">
        <f t="shared" ref="J8:J51" ca="1" si="0">IF(K8&lt;&gt;"",K8-I8,TODAY()-I8)</f>
        <v>274</v>
      </c>
      <c r="K8" s="20">
        <v>45713</v>
      </c>
      <c r="L8" s="20">
        <v>35065</v>
      </c>
    </row>
    <row r="9" spans="1:12" x14ac:dyDescent="0.25">
      <c r="A9" s="18">
        <v>2104</v>
      </c>
      <c r="B9" s="16" t="s">
        <v>43</v>
      </c>
      <c r="C9" s="8" t="s">
        <v>20</v>
      </c>
      <c r="D9" s="8" t="s">
        <v>14</v>
      </c>
      <c r="E9" s="9" t="s">
        <v>24</v>
      </c>
      <c r="F9" s="11" t="s">
        <v>44</v>
      </c>
      <c r="G9" s="9" t="s">
        <v>17</v>
      </c>
      <c r="H9" s="8" t="s">
        <v>45</v>
      </c>
      <c r="I9" s="20">
        <v>45702</v>
      </c>
      <c r="J9" s="13">
        <f t="shared" ca="1" si="0"/>
        <v>210</v>
      </c>
      <c r="K9" s="20">
        <v>45912</v>
      </c>
      <c r="L9" s="20">
        <v>37195</v>
      </c>
    </row>
    <row r="10" spans="1:12" x14ac:dyDescent="0.25">
      <c r="A10" s="18">
        <v>3066</v>
      </c>
      <c r="B10" s="16" t="s">
        <v>46</v>
      </c>
      <c r="C10" s="8" t="s">
        <v>20</v>
      </c>
      <c r="D10" s="8" t="s">
        <v>14</v>
      </c>
      <c r="E10" s="9" t="s">
        <v>15</v>
      </c>
      <c r="F10" s="19" t="s">
        <v>47</v>
      </c>
      <c r="G10" s="9" t="s">
        <v>48</v>
      </c>
      <c r="H10" s="8" t="s">
        <v>49</v>
      </c>
      <c r="I10" s="20">
        <v>45523</v>
      </c>
      <c r="J10" s="13">
        <f t="shared" ca="1" si="0"/>
        <v>274</v>
      </c>
      <c r="K10" s="20">
        <v>45797</v>
      </c>
      <c r="L10" s="20">
        <v>36317</v>
      </c>
    </row>
    <row r="11" spans="1:12" x14ac:dyDescent="0.25">
      <c r="A11" s="18">
        <v>3068</v>
      </c>
      <c r="B11" s="16" t="s">
        <v>50</v>
      </c>
      <c r="C11" s="8" t="s">
        <v>20</v>
      </c>
      <c r="D11" s="8" t="s">
        <v>14</v>
      </c>
      <c r="E11" s="9" t="s">
        <v>15</v>
      </c>
      <c r="F11" s="19" t="s">
        <v>47</v>
      </c>
      <c r="G11" s="9" t="s">
        <v>51</v>
      </c>
      <c r="H11" s="8" t="s">
        <v>49</v>
      </c>
      <c r="I11" s="20">
        <v>45425</v>
      </c>
      <c r="J11" s="13">
        <f t="shared" ca="1" si="0"/>
        <v>372</v>
      </c>
      <c r="K11" s="20">
        <v>45797</v>
      </c>
      <c r="L11" s="20">
        <v>28461</v>
      </c>
    </row>
    <row r="12" spans="1:12" x14ac:dyDescent="0.25">
      <c r="A12" s="18">
        <v>2007</v>
      </c>
      <c r="B12" s="16" t="s">
        <v>52</v>
      </c>
      <c r="C12" s="8" t="s">
        <v>13</v>
      </c>
      <c r="D12" s="8" t="s">
        <v>14</v>
      </c>
      <c r="E12" s="9" t="s">
        <v>24</v>
      </c>
      <c r="F12" s="19" t="s">
        <v>53</v>
      </c>
      <c r="G12" s="9" t="s">
        <v>54</v>
      </c>
      <c r="H12" s="8" t="s">
        <v>45</v>
      </c>
      <c r="I12" s="20">
        <v>45082</v>
      </c>
      <c r="J12" s="13">
        <f t="shared" ca="1" si="0"/>
        <v>1026</v>
      </c>
      <c r="K12" s="27"/>
      <c r="L12" s="20">
        <v>34066</v>
      </c>
    </row>
    <row r="13" spans="1:12" x14ac:dyDescent="0.25">
      <c r="A13" s="18">
        <v>3069</v>
      </c>
      <c r="B13" s="16" t="s">
        <v>55</v>
      </c>
      <c r="C13" s="8" t="s">
        <v>20</v>
      </c>
      <c r="D13" s="8" t="s">
        <v>14</v>
      </c>
      <c r="E13" s="9" t="s">
        <v>15</v>
      </c>
      <c r="F13" s="19" t="s">
        <v>56</v>
      </c>
      <c r="G13" s="9" t="s">
        <v>57</v>
      </c>
      <c r="H13" s="8" t="s">
        <v>39</v>
      </c>
      <c r="I13" s="20">
        <v>45693</v>
      </c>
      <c r="J13" s="13">
        <f t="shared" ca="1" si="0"/>
        <v>203</v>
      </c>
      <c r="K13" s="20">
        <v>45896</v>
      </c>
      <c r="L13" s="20">
        <v>32661</v>
      </c>
    </row>
    <row r="14" spans="1:12" x14ac:dyDescent="0.25">
      <c r="A14" s="18">
        <v>2038</v>
      </c>
      <c r="B14" s="16" t="s">
        <v>58</v>
      </c>
      <c r="C14" s="8" t="s">
        <v>20</v>
      </c>
      <c r="D14" s="8" t="s">
        <v>14</v>
      </c>
      <c r="E14" s="9" t="s">
        <v>24</v>
      </c>
      <c r="F14" s="11" t="s">
        <v>59</v>
      </c>
      <c r="G14" s="9" t="s">
        <v>42</v>
      </c>
      <c r="H14" s="8" t="s">
        <v>30</v>
      </c>
      <c r="I14" s="20">
        <v>45422</v>
      </c>
      <c r="J14" s="13">
        <f t="shared" ca="1" si="0"/>
        <v>285</v>
      </c>
      <c r="K14" s="20">
        <v>45707</v>
      </c>
      <c r="L14" s="20">
        <v>36179</v>
      </c>
    </row>
    <row r="15" spans="1:12" x14ac:dyDescent="0.25">
      <c r="A15" s="18">
        <v>2163</v>
      </c>
      <c r="B15" s="16" t="s">
        <v>61</v>
      </c>
      <c r="C15" s="8" t="s">
        <v>20</v>
      </c>
      <c r="D15" s="8" t="s">
        <v>14</v>
      </c>
      <c r="E15" s="9" t="s">
        <v>24</v>
      </c>
      <c r="F15" s="11" t="s">
        <v>28</v>
      </c>
      <c r="G15" s="9" t="s">
        <v>29</v>
      </c>
      <c r="H15" s="8" t="s">
        <v>62</v>
      </c>
      <c r="I15" s="20">
        <v>46002</v>
      </c>
      <c r="J15" s="13">
        <f t="shared" ca="1" si="0"/>
        <v>106</v>
      </c>
      <c r="K15" s="27"/>
      <c r="L15" s="20">
        <v>35487</v>
      </c>
    </row>
    <row r="16" spans="1:12" x14ac:dyDescent="0.25">
      <c r="A16" s="18">
        <v>2073</v>
      </c>
      <c r="B16" s="16" t="s">
        <v>63</v>
      </c>
      <c r="C16" s="8" t="s">
        <v>20</v>
      </c>
      <c r="D16" s="8" t="s">
        <v>14</v>
      </c>
      <c r="E16" s="9" t="s">
        <v>24</v>
      </c>
      <c r="F16" s="11" t="s">
        <v>25</v>
      </c>
      <c r="G16" s="9" t="s">
        <v>29</v>
      </c>
      <c r="H16" s="8" t="s">
        <v>30</v>
      </c>
      <c r="I16" s="20">
        <v>45547</v>
      </c>
      <c r="J16" s="13">
        <f t="shared" ca="1" si="0"/>
        <v>168</v>
      </c>
      <c r="K16" s="20">
        <v>45715</v>
      </c>
      <c r="L16" s="20">
        <v>37866</v>
      </c>
    </row>
    <row r="17" spans="1:12" x14ac:dyDescent="0.25">
      <c r="A17" s="18">
        <v>2028</v>
      </c>
      <c r="B17" s="16" t="s">
        <v>64</v>
      </c>
      <c r="C17" s="8" t="s">
        <v>20</v>
      </c>
      <c r="D17" s="8" t="s">
        <v>14</v>
      </c>
      <c r="E17" s="9" t="s">
        <v>24</v>
      </c>
      <c r="F17" s="11" t="s">
        <v>65</v>
      </c>
      <c r="G17" s="9" t="s">
        <v>29</v>
      </c>
      <c r="H17" s="8" t="s">
        <v>60</v>
      </c>
      <c r="I17" s="20">
        <v>45355</v>
      </c>
      <c r="J17" s="13">
        <f t="shared" ca="1" si="0"/>
        <v>275</v>
      </c>
      <c r="K17" s="20">
        <v>45630</v>
      </c>
      <c r="L17" s="20">
        <v>32885</v>
      </c>
    </row>
    <row r="18" spans="1:12" x14ac:dyDescent="0.25">
      <c r="A18" s="18">
        <v>2146</v>
      </c>
      <c r="B18" s="16" t="s">
        <v>67</v>
      </c>
      <c r="C18" s="8" t="s">
        <v>20</v>
      </c>
      <c r="D18" s="8" t="s">
        <v>14</v>
      </c>
      <c r="E18" s="9" t="s">
        <v>24</v>
      </c>
      <c r="F18" s="11" t="s">
        <v>33</v>
      </c>
      <c r="G18" s="9" t="s">
        <v>68</v>
      </c>
      <c r="H18" s="8" t="s">
        <v>34</v>
      </c>
      <c r="I18" s="20">
        <v>45912</v>
      </c>
      <c r="J18" s="13">
        <f t="shared" ca="1" si="0"/>
        <v>196</v>
      </c>
      <c r="K18" s="27"/>
      <c r="L18" s="20">
        <v>38440</v>
      </c>
    </row>
    <row r="19" spans="1:12" x14ac:dyDescent="0.25">
      <c r="A19" s="18">
        <v>2082</v>
      </c>
      <c r="B19" s="16" t="s">
        <v>70</v>
      </c>
      <c r="C19" s="8" t="s">
        <v>20</v>
      </c>
      <c r="D19" s="8" t="s">
        <v>14</v>
      </c>
      <c r="E19" s="9" t="s">
        <v>24</v>
      </c>
      <c r="F19" s="11" t="s">
        <v>33</v>
      </c>
      <c r="G19" s="9" t="s">
        <v>51</v>
      </c>
      <c r="H19" s="8" t="s">
        <v>69</v>
      </c>
      <c r="I19" s="20">
        <v>45575</v>
      </c>
      <c r="J19" s="13">
        <f t="shared" ca="1" si="0"/>
        <v>89</v>
      </c>
      <c r="K19" s="20">
        <v>45664</v>
      </c>
      <c r="L19" s="20">
        <v>32419</v>
      </c>
    </row>
    <row r="20" spans="1:12" x14ac:dyDescent="0.25">
      <c r="A20" s="18">
        <v>2134</v>
      </c>
      <c r="B20" s="16" t="s">
        <v>72</v>
      </c>
      <c r="C20" s="8" t="s">
        <v>20</v>
      </c>
      <c r="D20" s="8" t="s">
        <v>14</v>
      </c>
      <c r="E20" s="9" t="s">
        <v>24</v>
      </c>
      <c r="F20" s="11" t="s">
        <v>25</v>
      </c>
      <c r="G20" s="9" t="s">
        <v>29</v>
      </c>
      <c r="H20" s="8" t="s">
        <v>60</v>
      </c>
      <c r="I20" s="20">
        <v>45869</v>
      </c>
      <c r="J20" s="13">
        <f t="shared" ca="1" si="0"/>
        <v>44</v>
      </c>
      <c r="K20" s="20">
        <v>45913</v>
      </c>
      <c r="L20" s="20">
        <v>34481</v>
      </c>
    </row>
    <row r="21" spans="1:12" x14ac:dyDescent="0.25">
      <c r="A21" s="18">
        <v>2129</v>
      </c>
      <c r="B21" s="16" t="s">
        <v>73</v>
      </c>
      <c r="C21" s="8" t="s">
        <v>20</v>
      </c>
      <c r="D21" s="8" t="s">
        <v>14</v>
      </c>
      <c r="E21" s="9" t="s">
        <v>24</v>
      </c>
      <c r="F21" s="11" t="s">
        <v>25</v>
      </c>
      <c r="G21" s="9" t="s">
        <v>29</v>
      </c>
      <c r="H21" s="8" t="s">
        <v>62</v>
      </c>
      <c r="I21" s="20">
        <v>45848</v>
      </c>
      <c r="J21" s="13">
        <f t="shared" ca="1" si="0"/>
        <v>45</v>
      </c>
      <c r="K21" s="20">
        <v>45893</v>
      </c>
      <c r="L21" s="20">
        <v>35072</v>
      </c>
    </row>
    <row r="22" spans="1:12" x14ac:dyDescent="0.25">
      <c r="A22" s="18">
        <v>2085</v>
      </c>
      <c r="B22" s="29" t="s">
        <v>75</v>
      </c>
      <c r="C22" s="8" t="s">
        <v>31</v>
      </c>
      <c r="D22" s="8" t="s">
        <v>14</v>
      </c>
      <c r="E22" s="9" t="s">
        <v>24</v>
      </c>
      <c r="F22" s="19" t="s">
        <v>76</v>
      </c>
      <c r="G22" s="9" t="s">
        <v>29</v>
      </c>
      <c r="H22" s="8" t="s">
        <v>71</v>
      </c>
      <c r="I22" s="20">
        <v>45591</v>
      </c>
      <c r="J22" s="13">
        <f t="shared" ca="1" si="0"/>
        <v>517</v>
      </c>
      <c r="K22" s="27"/>
      <c r="L22" s="20">
        <v>38119</v>
      </c>
    </row>
    <row r="23" spans="1:12" x14ac:dyDescent="0.25">
      <c r="A23" s="18">
        <v>2086</v>
      </c>
      <c r="B23" s="16" t="s">
        <v>78</v>
      </c>
      <c r="C23" s="8" t="s">
        <v>20</v>
      </c>
      <c r="D23" s="8" t="s">
        <v>14</v>
      </c>
      <c r="E23" s="9" t="s">
        <v>24</v>
      </c>
      <c r="F23" s="11" t="s">
        <v>25</v>
      </c>
      <c r="G23" s="9" t="s">
        <v>42</v>
      </c>
      <c r="H23" s="8" t="s">
        <v>30</v>
      </c>
      <c r="I23" s="20">
        <v>45603</v>
      </c>
      <c r="J23" s="13">
        <f t="shared" ca="1" si="0"/>
        <v>89</v>
      </c>
      <c r="K23" s="20">
        <v>45692</v>
      </c>
      <c r="L23" s="20">
        <v>32251</v>
      </c>
    </row>
    <row r="24" spans="1:12" x14ac:dyDescent="0.25">
      <c r="A24" s="18">
        <v>100</v>
      </c>
      <c r="B24" s="16" t="s">
        <v>79</v>
      </c>
      <c r="C24" s="8" t="s">
        <v>13</v>
      </c>
      <c r="D24" s="8" t="s">
        <v>14</v>
      </c>
      <c r="E24" s="9" t="s">
        <v>24</v>
      </c>
      <c r="F24" s="19" t="s">
        <v>80</v>
      </c>
      <c r="G24" s="9" t="s">
        <v>81</v>
      </c>
      <c r="H24" s="8" t="s">
        <v>22</v>
      </c>
      <c r="I24" s="20">
        <v>45029</v>
      </c>
      <c r="J24" s="13">
        <f t="shared" ca="1" si="0"/>
        <v>1079</v>
      </c>
      <c r="K24" s="27"/>
      <c r="L24" s="20">
        <v>30897</v>
      </c>
    </row>
    <row r="25" spans="1:12" x14ac:dyDescent="0.25">
      <c r="A25" s="18">
        <v>2126</v>
      </c>
      <c r="B25" s="16" t="s">
        <v>82</v>
      </c>
      <c r="C25" s="8" t="s">
        <v>20</v>
      </c>
      <c r="D25" s="8" t="s">
        <v>14</v>
      </c>
      <c r="E25" s="9" t="s">
        <v>24</v>
      </c>
      <c r="F25" s="11" t="s">
        <v>83</v>
      </c>
      <c r="G25" s="9" t="s">
        <v>42</v>
      </c>
      <c r="H25" s="8" t="s">
        <v>26</v>
      </c>
      <c r="I25" s="20">
        <v>45803</v>
      </c>
      <c r="J25" s="13">
        <f t="shared" ca="1" si="0"/>
        <v>106</v>
      </c>
      <c r="K25" s="20">
        <v>45909</v>
      </c>
      <c r="L25" s="20">
        <v>33939</v>
      </c>
    </row>
    <row r="26" spans="1:12" x14ac:dyDescent="0.25">
      <c r="A26" s="18">
        <v>2143</v>
      </c>
      <c r="B26" s="16" t="s">
        <v>84</v>
      </c>
      <c r="C26" s="8" t="s">
        <v>13</v>
      </c>
      <c r="D26" s="8" t="s">
        <v>14</v>
      </c>
      <c r="E26" s="9" t="s">
        <v>24</v>
      </c>
      <c r="F26" s="19" t="s">
        <v>85</v>
      </c>
      <c r="G26" s="9" t="s">
        <v>57</v>
      </c>
      <c r="H26" s="8" t="s">
        <v>22</v>
      </c>
      <c r="I26" s="20">
        <v>45901</v>
      </c>
      <c r="J26" s="13">
        <f t="shared" ca="1" si="0"/>
        <v>207</v>
      </c>
      <c r="K26" s="27"/>
      <c r="L26" s="20">
        <v>38142</v>
      </c>
    </row>
    <row r="27" spans="1:12" x14ac:dyDescent="0.25">
      <c r="A27" s="18">
        <v>2157</v>
      </c>
      <c r="B27" s="16" t="s">
        <v>87</v>
      </c>
      <c r="C27" s="8" t="s">
        <v>13</v>
      </c>
      <c r="D27" s="8" t="s">
        <v>14</v>
      </c>
      <c r="E27" s="9" t="s">
        <v>24</v>
      </c>
      <c r="F27" s="19" t="s">
        <v>88</v>
      </c>
      <c r="G27" s="9" t="s">
        <v>17</v>
      </c>
      <c r="H27" s="8" t="s">
        <v>45</v>
      </c>
      <c r="I27" s="20">
        <v>45985</v>
      </c>
      <c r="J27" s="13">
        <f t="shared" ca="1" si="0"/>
        <v>123</v>
      </c>
      <c r="K27" s="27"/>
      <c r="L27" s="20">
        <v>29822</v>
      </c>
    </row>
    <row r="28" spans="1:12" x14ac:dyDescent="0.25">
      <c r="A28" s="18">
        <v>2081</v>
      </c>
      <c r="B28" s="16" t="s">
        <v>89</v>
      </c>
      <c r="C28" s="8" t="s">
        <v>20</v>
      </c>
      <c r="D28" s="8" t="s">
        <v>14</v>
      </c>
      <c r="E28" s="9" t="s">
        <v>24</v>
      </c>
      <c r="F28" s="11" t="s">
        <v>25</v>
      </c>
      <c r="G28" s="9" t="s">
        <v>29</v>
      </c>
      <c r="H28" s="8" t="s">
        <v>30</v>
      </c>
      <c r="I28" s="20">
        <v>45575</v>
      </c>
      <c r="J28" s="13">
        <f t="shared" ca="1" si="0"/>
        <v>5</v>
      </c>
      <c r="K28" s="20">
        <v>45580</v>
      </c>
      <c r="L28" s="20">
        <v>31907</v>
      </c>
    </row>
    <row r="29" spans="1:12" x14ac:dyDescent="0.25">
      <c r="A29" s="18">
        <v>2046</v>
      </c>
      <c r="B29" s="29" t="s">
        <v>90</v>
      </c>
      <c r="C29" s="8" t="s">
        <v>31</v>
      </c>
      <c r="D29" s="8" t="s">
        <v>14</v>
      </c>
      <c r="E29" s="9" t="s">
        <v>24</v>
      </c>
      <c r="F29" s="19" t="s">
        <v>91</v>
      </c>
      <c r="G29" s="9" t="s">
        <v>42</v>
      </c>
      <c r="H29" s="8" t="s">
        <v>77</v>
      </c>
      <c r="I29" s="20">
        <v>45435</v>
      </c>
      <c r="J29" s="13">
        <f t="shared" ca="1" si="0"/>
        <v>673</v>
      </c>
      <c r="K29" s="27"/>
      <c r="L29" s="20">
        <v>35827</v>
      </c>
    </row>
    <row r="30" spans="1:12" x14ac:dyDescent="0.25">
      <c r="A30" s="18">
        <v>2119</v>
      </c>
      <c r="B30" s="16" t="s">
        <v>92</v>
      </c>
      <c r="C30" s="8" t="s">
        <v>20</v>
      </c>
      <c r="D30" s="8" t="s">
        <v>14</v>
      </c>
      <c r="E30" s="9" t="s">
        <v>24</v>
      </c>
      <c r="F30" s="11" t="s">
        <v>93</v>
      </c>
      <c r="G30" s="9" t="s">
        <v>42</v>
      </c>
      <c r="H30" s="8" t="s">
        <v>26</v>
      </c>
      <c r="I30" s="20">
        <v>45758</v>
      </c>
      <c r="J30" s="13">
        <f t="shared" ca="1" si="0"/>
        <v>182</v>
      </c>
      <c r="K30" s="20">
        <v>45940</v>
      </c>
      <c r="L30" s="20">
        <v>37875</v>
      </c>
    </row>
    <row r="31" spans="1:12" x14ac:dyDescent="0.25">
      <c r="A31" s="18">
        <v>2110</v>
      </c>
      <c r="B31" s="16" t="s">
        <v>94</v>
      </c>
      <c r="C31" s="8" t="s">
        <v>20</v>
      </c>
      <c r="D31" s="8" t="s">
        <v>14</v>
      </c>
      <c r="E31" s="9" t="s">
        <v>24</v>
      </c>
      <c r="F31" s="11" t="s">
        <v>95</v>
      </c>
      <c r="G31" s="9" t="s">
        <v>29</v>
      </c>
      <c r="H31" s="8" t="s">
        <v>60</v>
      </c>
      <c r="I31" s="20">
        <v>45714</v>
      </c>
      <c r="J31" s="13">
        <f t="shared" ca="1" si="0"/>
        <v>391</v>
      </c>
      <c r="K31" s="21">
        <v>46105</v>
      </c>
      <c r="L31" s="20">
        <v>34417</v>
      </c>
    </row>
    <row r="32" spans="1:12" x14ac:dyDescent="0.25">
      <c r="A32" s="18">
        <v>2114</v>
      </c>
      <c r="B32" s="16" t="s">
        <v>96</v>
      </c>
      <c r="C32" s="8" t="s">
        <v>13</v>
      </c>
      <c r="D32" s="8" t="s">
        <v>14</v>
      </c>
      <c r="E32" s="9" t="s">
        <v>24</v>
      </c>
      <c r="F32" s="19" t="s">
        <v>93</v>
      </c>
      <c r="G32" s="9" t="s">
        <v>42</v>
      </c>
      <c r="H32" s="8" t="s">
        <v>77</v>
      </c>
      <c r="I32" s="20">
        <v>45715</v>
      </c>
      <c r="J32" s="13">
        <f t="shared" ca="1" si="0"/>
        <v>393</v>
      </c>
      <c r="K32" s="27"/>
      <c r="L32" s="20">
        <v>38157</v>
      </c>
    </row>
    <row r="33" spans="1:12" x14ac:dyDescent="0.25">
      <c r="A33" s="18">
        <v>2069</v>
      </c>
      <c r="B33" s="16" t="s">
        <v>97</v>
      </c>
      <c r="C33" s="8" t="s">
        <v>20</v>
      </c>
      <c r="D33" s="8" t="s">
        <v>14</v>
      </c>
      <c r="E33" s="9" t="s">
        <v>24</v>
      </c>
      <c r="F33" s="11" t="s">
        <v>33</v>
      </c>
      <c r="G33" s="9" t="s">
        <v>57</v>
      </c>
      <c r="H33" s="8" t="s">
        <v>69</v>
      </c>
      <c r="I33" s="20">
        <v>45533</v>
      </c>
      <c r="J33" s="13">
        <f t="shared" ca="1" si="0"/>
        <v>307</v>
      </c>
      <c r="K33" s="20">
        <v>45840</v>
      </c>
      <c r="L33" s="20">
        <v>31978</v>
      </c>
    </row>
    <row r="34" spans="1:12" x14ac:dyDescent="0.25">
      <c r="A34" s="18">
        <v>2004</v>
      </c>
      <c r="B34" s="16" t="s">
        <v>98</v>
      </c>
      <c r="C34" s="8" t="s">
        <v>20</v>
      </c>
      <c r="D34" s="8" t="s">
        <v>14</v>
      </c>
      <c r="E34" s="9" t="s">
        <v>24</v>
      </c>
      <c r="F34" s="11" t="s">
        <v>65</v>
      </c>
      <c r="G34" s="9" t="s">
        <v>42</v>
      </c>
      <c r="H34" s="8" t="s">
        <v>60</v>
      </c>
      <c r="I34" s="20">
        <v>45019</v>
      </c>
      <c r="J34" s="13">
        <f t="shared" ca="1" si="0"/>
        <v>622</v>
      </c>
      <c r="K34" s="20">
        <v>45641</v>
      </c>
      <c r="L34" s="20">
        <v>36684</v>
      </c>
    </row>
    <row r="35" spans="1:12" x14ac:dyDescent="0.25">
      <c r="A35" s="18">
        <v>3056</v>
      </c>
      <c r="B35" s="16" t="s">
        <v>99</v>
      </c>
      <c r="C35" s="8" t="s">
        <v>20</v>
      </c>
      <c r="D35" s="8" t="s">
        <v>14</v>
      </c>
      <c r="E35" s="9" t="s">
        <v>15</v>
      </c>
      <c r="F35" s="19" t="s">
        <v>33</v>
      </c>
      <c r="G35" s="9" t="s">
        <v>17</v>
      </c>
      <c r="H35" s="8" t="s">
        <v>49</v>
      </c>
      <c r="I35" s="20">
        <v>45516</v>
      </c>
      <c r="J35" s="13">
        <f t="shared" ca="1" si="0"/>
        <v>44</v>
      </c>
      <c r="K35" s="20">
        <v>45560</v>
      </c>
      <c r="L35" s="20">
        <v>34903</v>
      </c>
    </row>
    <row r="36" spans="1:12" x14ac:dyDescent="0.25">
      <c r="A36" s="18">
        <v>2156</v>
      </c>
      <c r="B36" s="16" t="s">
        <v>100</v>
      </c>
      <c r="C36" s="8" t="s">
        <v>20</v>
      </c>
      <c r="D36" s="8" t="s">
        <v>14</v>
      </c>
      <c r="E36" s="9" t="s">
        <v>24</v>
      </c>
      <c r="F36" s="11" t="s">
        <v>101</v>
      </c>
      <c r="G36" s="9" t="s">
        <v>17</v>
      </c>
      <c r="H36" s="8" t="s">
        <v>45</v>
      </c>
      <c r="I36" s="20">
        <v>45978</v>
      </c>
      <c r="J36" s="13">
        <f t="shared" ca="1" si="0"/>
        <v>130</v>
      </c>
      <c r="K36" s="27"/>
      <c r="L36" s="20">
        <v>35465</v>
      </c>
    </row>
    <row r="37" spans="1:12" x14ac:dyDescent="0.25">
      <c r="A37" s="18">
        <v>2091</v>
      </c>
      <c r="B37" s="16" t="s">
        <v>102</v>
      </c>
      <c r="C37" s="8" t="s">
        <v>20</v>
      </c>
      <c r="D37" s="8" t="s">
        <v>14</v>
      </c>
      <c r="E37" s="9" t="s">
        <v>24</v>
      </c>
      <c r="F37" s="11" t="s">
        <v>103</v>
      </c>
      <c r="G37" s="9" t="s">
        <v>104</v>
      </c>
      <c r="H37" s="8" t="s">
        <v>34</v>
      </c>
      <c r="I37" s="20">
        <v>45624</v>
      </c>
      <c r="J37" s="13">
        <f t="shared" ca="1" si="0"/>
        <v>284</v>
      </c>
      <c r="K37" s="20">
        <v>45908</v>
      </c>
      <c r="L37" s="20">
        <v>36430</v>
      </c>
    </row>
    <row r="38" spans="1:12" x14ac:dyDescent="0.25">
      <c r="A38" s="18">
        <v>2112</v>
      </c>
      <c r="B38" s="16" t="s">
        <v>105</v>
      </c>
      <c r="C38" s="8" t="s">
        <v>20</v>
      </c>
      <c r="D38" s="8" t="s">
        <v>14</v>
      </c>
      <c r="E38" s="9" t="s">
        <v>24</v>
      </c>
      <c r="F38" s="11" t="s">
        <v>93</v>
      </c>
      <c r="G38" s="9" t="s">
        <v>29</v>
      </c>
      <c r="H38" s="8" t="s">
        <v>62</v>
      </c>
      <c r="I38" s="20">
        <v>45715</v>
      </c>
      <c r="J38" s="13">
        <f t="shared" ca="1" si="0"/>
        <v>201</v>
      </c>
      <c r="K38" s="20">
        <v>45916</v>
      </c>
      <c r="L38" s="20">
        <v>34827</v>
      </c>
    </row>
    <row r="39" spans="1:12" x14ac:dyDescent="0.25">
      <c r="A39" s="18">
        <v>2135</v>
      </c>
      <c r="B39" s="16" t="s">
        <v>106</v>
      </c>
      <c r="C39" s="8" t="s">
        <v>20</v>
      </c>
      <c r="D39" s="8" t="s">
        <v>14</v>
      </c>
      <c r="E39" s="9" t="s">
        <v>24</v>
      </c>
      <c r="F39" s="11" t="s">
        <v>25</v>
      </c>
      <c r="G39" s="9" t="s">
        <v>42</v>
      </c>
      <c r="H39" s="8" t="s">
        <v>77</v>
      </c>
      <c r="I39" s="20">
        <v>45877</v>
      </c>
      <c r="J39" s="13">
        <f t="shared" ca="1" si="0"/>
        <v>45</v>
      </c>
      <c r="K39" s="20">
        <v>45922</v>
      </c>
      <c r="L39" s="20">
        <v>33241</v>
      </c>
    </row>
    <row r="40" spans="1:12" x14ac:dyDescent="0.25">
      <c r="A40" s="18">
        <v>2053</v>
      </c>
      <c r="B40" s="16" t="s">
        <v>107</v>
      </c>
      <c r="C40" s="8" t="s">
        <v>20</v>
      </c>
      <c r="D40" s="8" t="s">
        <v>14</v>
      </c>
      <c r="E40" s="9" t="s">
        <v>24</v>
      </c>
      <c r="F40" s="11" t="s">
        <v>59</v>
      </c>
      <c r="G40" s="9" t="s">
        <v>29</v>
      </c>
      <c r="H40" s="8" t="s">
        <v>30</v>
      </c>
      <c r="I40" s="20">
        <v>45449</v>
      </c>
      <c r="J40" s="13">
        <f t="shared" ca="1" si="0"/>
        <v>74</v>
      </c>
      <c r="K40" s="20">
        <v>45523</v>
      </c>
      <c r="L40" s="20">
        <v>33111</v>
      </c>
    </row>
    <row r="41" spans="1:12" x14ac:dyDescent="0.25">
      <c r="A41" s="18">
        <v>2125</v>
      </c>
      <c r="B41" s="16" t="s">
        <v>108</v>
      </c>
      <c r="C41" s="8" t="s">
        <v>20</v>
      </c>
      <c r="D41" s="8" t="s">
        <v>14</v>
      </c>
      <c r="E41" s="9" t="s">
        <v>24</v>
      </c>
      <c r="F41" s="11" t="s">
        <v>109</v>
      </c>
      <c r="G41" s="9" t="s">
        <v>51</v>
      </c>
      <c r="H41" s="8" t="s">
        <v>66</v>
      </c>
      <c r="I41" s="20">
        <v>45798</v>
      </c>
      <c r="J41" s="13">
        <f t="shared" ca="1" si="0"/>
        <v>86</v>
      </c>
      <c r="K41" s="20">
        <v>45884</v>
      </c>
      <c r="L41" s="20">
        <v>34981</v>
      </c>
    </row>
    <row r="42" spans="1:12" x14ac:dyDescent="0.25">
      <c r="A42" s="18">
        <v>3006</v>
      </c>
      <c r="B42" s="16" t="s">
        <v>110</v>
      </c>
      <c r="C42" s="8" t="s">
        <v>20</v>
      </c>
      <c r="D42" s="8" t="s">
        <v>14</v>
      </c>
      <c r="E42" s="9" t="s">
        <v>15</v>
      </c>
      <c r="F42" s="19" t="s">
        <v>111</v>
      </c>
      <c r="G42" s="9" t="s">
        <v>17</v>
      </c>
      <c r="H42" s="8" t="s">
        <v>39</v>
      </c>
      <c r="I42" s="20">
        <v>45414</v>
      </c>
      <c r="J42" s="13">
        <f t="shared" ca="1" si="0"/>
        <v>110</v>
      </c>
      <c r="K42" s="20">
        <v>45524</v>
      </c>
      <c r="L42" s="20">
        <v>35321</v>
      </c>
    </row>
    <row r="43" spans="1:12" x14ac:dyDescent="0.25">
      <c r="A43" s="18">
        <v>2105</v>
      </c>
      <c r="B43" s="16" t="s">
        <v>112</v>
      </c>
      <c r="C43" s="8" t="s">
        <v>13</v>
      </c>
      <c r="D43" s="8" t="s">
        <v>14</v>
      </c>
      <c r="E43" s="9" t="s">
        <v>24</v>
      </c>
      <c r="F43" s="19" t="s">
        <v>76</v>
      </c>
      <c r="G43" s="9" t="s">
        <v>42</v>
      </c>
      <c r="H43" s="8" t="s">
        <v>74</v>
      </c>
      <c r="I43" s="20">
        <v>45701</v>
      </c>
      <c r="J43" s="13">
        <f t="shared" ca="1" si="0"/>
        <v>407</v>
      </c>
      <c r="K43" s="27"/>
      <c r="L43" s="20">
        <v>36396</v>
      </c>
    </row>
    <row r="44" spans="1:12" x14ac:dyDescent="0.25">
      <c r="A44" s="18">
        <v>2031</v>
      </c>
      <c r="B44" s="16" t="s">
        <v>113</v>
      </c>
      <c r="C44" s="8" t="s">
        <v>13</v>
      </c>
      <c r="D44" s="8" t="s">
        <v>14</v>
      </c>
      <c r="E44" s="9" t="s">
        <v>24</v>
      </c>
      <c r="F44" s="19" t="s">
        <v>85</v>
      </c>
      <c r="G44" s="9" t="s">
        <v>54</v>
      </c>
      <c r="H44" s="11" t="s">
        <v>22</v>
      </c>
      <c r="I44" s="20">
        <v>45355</v>
      </c>
      <c r="J44" s="13">
        <f t="shared" ca="1" si="0"/>
        <v>753</v>
      </c>
      <c r="K44" s="27"/>
      <c r="L44" s="20">
        <v>39096</v>
      </c>
    </row>
    <row r="45" spans="1:12" x14ac:dyDescent="0.25">
      <c r="A45" s="18">
        <v>175</v>
      </c>
      <c r="B45" s="16" t="s">
        <v>114</v>
      </c>
      <c r="C45" s="8" t="s">
        <v>20</v>
      </c>
      <c r="D45" s="8" t="s">
        <v>14</v>
      </c>
      <c r="E45" s="9" t="s">
        <v>24</v>
      </c>
      <c r="F45" s="11" t="s">
        <v>85</v>
      </c>
      <c r="G45" s="9" t="s">
        <v>17</v>
      </c>
      <c r="H45" s="8" t="s">
        <v>45</v>
      </c>
      <c r="I45" s="20">
        <v>45957</v>
      </c>
      <c r="J45" s="13">
        <f t="shared" ca="1" si="0"/>
        <v>151</v>
      </c>
      <c r="K45" s="27"/>
      <c r="L45" s="20">
        <v>36450</v>
      </c>
    </row>
    <row r="46" spans="1:12" x14ac:dyDescent="0.25">
      <c r="A46" s="18">
        <v>3080</v>
      </c>
      <c r="B46" s="16" t="s">
        <v>115</v>
      </c>
      <c r="C46" s="8" t="s">
        <v>20</v>
      </c>
      <c r="D46" s="8" t="s">
        <v>14</v>
      </c>
      <c r="E46" s="9" t="s">
        <v>15</v>
      </c>
      <c r="F46" s="19" t="s">
        <v>116</v>
      </c>
      <c r="G46" s="9" t="s">
        <v>17</v>
      </c>
      <c r="H46" s="8" t="s">
        <v>39</v>
      </c>
      <c r="I46" s="20">
        <v>45891</v>
      </c>
      <c r="J46" s="13">
        <f t="shared" ca="1" si="0"/>
        <v>42</v>
      </c>
      <c r="K46" s="20">
        <v>45933</v>
      </c>
      <c r="L46" s="20">
        <v>35691</v>
      </c>
    </row>
    <row r="47" spans="1:12" x14ac:dyDescent="0.25">
      <c r="A47" s="18">
        <v>3092</v>
      </c>
      <c r="B47" s="16" t="s">
        <v>115</v>
      </c>
      <c r="C47" s="8" t="s">
        <v>13</v>
      </c>
      <c r="D47" s="8" t="s">
        <v>14</v>
      </c>
      <c r="E47" s="9" t="s">
        <v>15</v>
      </c>
      <c r="F47" s="19" t="s">
        <v>116</v>
      </c>
      <c r="G47" s="9" t="s">
        <v>17</v>
      </c>
      <c r="H47" s="8" t="s">
        <v>18</v>
      </c>
      <c r="I47" s="20">
        <v>46041</v>
      </c>
      <c r="J47" s="13">
        <f t="shared" ca="1" si="0"/>
        <v>67</v>
      </c>
      <c r="K47" s="27"/>
      <c r="L47" s="20">
        <v>35691</v>
      </c>
    </row>
    <row r="48" spans="1:12" x14ac:dyDescent="0.25">
      <c r="A48" s="18">
        <v>2149</v>
      </c>
      <c r="B48" s="16" t="s">
        <v>117</v>
      </c>
      <c r="C48" s="8" t="s">
        <v>20</v>
      </c>
      <c r="D48" s="8" t="s">
        <v>14</v>
      </c>
      <c r="E48" s="9" t="s">
        <v>24</v>
      </c>
      <c r="F48" s="11" t="s">
        <v>118</v>
      </c>
      <c r="G48" s="9" t="s">
        <v>119</v>
      </c>
      <c r="H48" s="8" t="s">
        <v>86</v>
      </c>
      <c r="I48" s="20">
        <v>45918</v>
      </c>
      <c r="J48" s="13">
        <f t="shared" ca="1" si="0"/>
        <v>190</v>
      </c>
      <c r="K48" s="27"/>
      <c r="L48" s="20">
        <v>39759</v>
      </c>
    </row>
    <row r="49" spans="1:12" x14ac:dyDescent="0.25">
      <c r="A49" s="18">
        <v>2117</v>
      </c>
      <c r="B49" s="16" t="s">
        <v>120</v>
      </c>
      <c r="C49" s="8" t="s">
        <v>20</v>
      </c>
      <c r="D49" s="8" t="s">
        <v>14</v>
      </c>
      <c r="E49" s="9" t="s">
        <v>24</v>
      </c>
      <c r="F49" s="11" t="s">
        <v>121</v>
      </c>
      <c r="G49" s="24"/>
      <c r="H49" s="8" t="s">
        <v>66</v>
      </c>
      <c r="I49" s="20">
        <v>45751</v>
      </c>
      <c r="J49" s="13">
        <f t="shared" ca="1" si="0"/>
        <v>10</v>
      </c>
      <c r="K49" s="20">
        <v>45761</v>
      </c>
      <c r="L49" s="20">
        <v>32594</v>
      </c>
    </row>
    <row r="50" spans="1:12" x14ac:dyDescent="0.25">
      <c r="A50" s="18">
        <v>3090</v>
      </c>
      <c r="B50" s="16" t="s">
        <v>122</v>
      </c>
      <c r="C50" s="8" t="s">
        <v>13</v>
      </c>
      <c r="D50" s="8" t="s">
        <v>14</v>
      </c>
      <c r="E50" s="9" t="s">
        <v>15</v>
      </c>
      <c r="F50" s="19" t="s">
        <v>123</v>
      </c>
      <c r="G50" s="9" t="s">
        <v>51</v>
      </c>
      <c r="H50" s="8" t="s">
        <v>18</v>
      </c>
      <c r="I50" s="20">
        <v>46030</v>
      </c>
      <c r="J50" s="13">
        <f t="shared" ca="1" si="0"/>
        <v>78</v>
      </c>
      <c r="K50" s="27"/>
      <c r="L50" s="20">
        <v>35018</v>
      </c>
    </row>
    <row r="51" spans="1:12" x14ac:dyDescent="0.25">
      <c r="A51" s="18">
        <v>2109</v>
      </c>
      <c r="B51" s="16" t="s">
        <v>124</v>
      </c>
      <c r="C51" s="8" t="s">
        <v>20</v>
      </c>
      <c r="D51" s="8" t="s">
        <v>14</v>
      </c>
      <c r="E51" s="9" t="s">
        <v>24</v>
      </c>
      <c r="F51" s="11" t="s">
        <v>28</v>
      </c>
      <c r="G51" s="24"/>
      <c r="H51" s="8" t="s">
        <v>60</v>
      </c>
      <c r="I51" s="20">
        <v>45712</v>
      </c>
      <c r="J51" s="13">
        <f t="shared" ca="1" si="0"/>
        <v>126</v>
      </c>
      <c r="K51" s="20">
        <v>45838</v>
      </c>
      <c r="L51" s="20">
        <v>31967</v>
      </c>
    </row>
    <row r="52" spans="1:12" s="15" customFormat="1" x14ac:dyDescent="0.25">
      <c r="A52" s="18">
        <v>2092</v>
      </c>
      <c r="B52" s="16" t="s">
        <v>125</v>
      </c>
      <c r="C52" s="8" t="s">
        <v>20</v>
      </c>
      <c r="D52" s="8" t="s">
        <v>14</v>
      </c>
      <c r="E52" s="9" t="s">
        <v>24</v>
      </c>
      <c r="F52" s="11" t="s">
        <v>25</v>
      </c>
      <c r="G52" s="9" t="s">
        <v>42</v>
      </c>
      <c r="H52" s="8" t="s">
        <v>30</v>
      </c>
      <c r="I52" s="27"/>
      <c r="J52" s="26"/>
      <c r="K52" s="20">
        <v>45695</v>
      </c>
      <c r="L52" s="20">
        <v>34598</v>
      </c>
    </row>
    <row r="53" spans="1:12" x14ac:dyDescent="0.25">
      <c r="A53" s="18">
        <v>2131</v>
      </c>
      <c r="B53" s="16" t="s">
        <v>126</v>
      </c>
      <c r="C53" s="8" t="s">
        <v>20</v>
      </c>
      <c r="D53" s="8" t="s">
        <v>14</v>
      </c>
      <c r="E53" s="9" t="s">
        <v>24</v>
      </c>
      <c r="F53" s="11" t="s">
        <v>25</v>
      </c>
      <c r="G53" s="9" t="s">
        <v>29</v>
      </c>
      <c r="H53" s="8" t="s">
        <v>62</v>
      </c>
      <c r="I53" s="20">
        <v>45862</v>
      </c>
      <c r="J53" s="13">
        <f ca="1">IF(K53&lt;&gt;"",K53-I53,TODAY()-I53)</f>
        <v>43</v>
      </c>
      <c r="K53" s="20">
        <v>45905</v>
      </c>
      <c r="L53" s="20">
        <v>36070</v>
      </c>
    </row>
    <row r="54" spans="1:12" s="15" customFormat="1" x14ac:dyDescent="0.25">
      <c r="A54" s="18">
        <v>3067</v>
      </c>
      <c r="B54" s="16" t="s">
        <v>127</v>
      </c>
      <c r="C54" s="8" t="s">
        <v>20</v>
      </c>
      <c r="D54" s="8" t="s">
        <v>14</v>
      </c>
      <c r="E54" s="9" t="s">
        <v>15</v>
      </c>
      <c r="F54" s="19" t="s">
        <v>37</v>
      </c>
      <c r="G54" s="9" t="s">
        <v>17</v>
      </c>
      <c r="H54" s="8" t="s">
        <v>39</v>
      </c>
      <c r="I54" s="20">
        <v>45635</v>
      </c>
      <c r="J54" s="13">
        <f ca="1">IF(K54&lt;&gt;"",K54-I54,TODAY()-I54)</f>
        <v>266</v>
      </c>
      <c r="K54" s="20">
        <v>45901</v>
      </c>
      <c r="L54" s="28"/>
    </row>
    <row r="55" spans="1:12" x14ac:dyDescent="0.25">
      <c r="A55" s="18">
        <v>2103</v>
      </c>
      <c r="B55" s="16" t="s">
        <v>128</v>
      </c>
      <c r="C55" s="8" t="s">
        <v>20</v>
      </c>
      <c r="D55" s="8" t="s">
        <v>14</v>
      </c>
      <c r="E55" s="9" t="s">
        <v>24</v>
      </c>
      <c r="F55" s="11" t="s">
        <v>33</v>
      </c>
      <c r="G55" s="9" t="s">
        <v>51</v>
      </c>
      <c r="H55" s="8" t="s">
        <v>69</v>
      </c>
      <c r="I55" s="20">
        <v>45699</v>
      </c>
      <c r="J55" s="13">
        <f ca="1">IF(K55&lt;&gt;"",K55-I55,TODAY()-I55)</f>
        <v>42</v>
      </c>
      <c r="K55" s="20">
        <v>45741</v>
      </c>
      <c r="L55" s="20">
        <v>35520</v>
      </c>
    </row>
    <row r="56" spans="1:12" x14ac:dyDescent="0.25">
      <c r="A56" s="18">
        <v>2093</v>
      </c>
      <c r="B56" s="16" t="s">
        <v>129</v>
      </c>
      <c r="C56" s="8" t="s">
        <v>20</v>
      </c>
      <c r="D56" s="8" t="s">
        <v>14</v>
      </c>
      <c r="E56" s="9" t="s">
        <v>24</v>
      </c>
      <c r="F56" s="11" t="s">
        <v>33</v>
      </c>
      <c r="G56" s="9" t="s">
        <v>51</v>
      </c>
      <c r="H56" s="8" t="s">
        <v>69</v>
      </c>
      <c r="I56" s="20">
        <v>45679</v>
      </c>
      <c r="J56" s="13">
        <f ca="1">IF(K56&lt;&gt;"",K56-I56,TODAY()-I56)</f>
        <v>12</v>
      </c>
      <c r="K56" s="20">
        <v>45691</v>
      </c>
      <c r="L56" s="20">
        <v>35611</v>
      </c>
    </row>
    <row r="57" spans="1:12" x14ac:dyDescent="0.25">
      <c r="A57" s="18">
        <v>2067</v>
      </c>
      <c r="B57" s="16" t="s">
        <v>130</v>
      </c>
      <c r="C57" s="8" t="s">
        <v>20</v>
      </c>
      <c r="D57" s="8" t="s">
        <v>36</v>
      </c>
      <c r="E57" s="9" t="s">
        <v>24</v>
      </c>
      <c r="F57" s="11" t="s">
        <v>83</v>
      </c>
      <c r="G57" s="9" t="s">
        <v>38</v>
      </c>
      <c r="H57" s="8" t="s">
        <v>30</v>
      </c>
      <c r="I57" s="20">
        <v>45530</v>
      </c>
      <c r="J57" s="13">
        <f ca="1">IF(K57&lt;&gt;"",K57-I57,TODAY()-I57)</f>
        <v>578</v>
      </c>
      <c r="K57" s="27"/>
      <c r="L57" s="20">
        <v>38180</v>
      </c>
    </row>
    <row r="58" spans="1:12" x14ac:dyDescent="0.25">
      <c r="A58" s="18">
        <v>2065</v>
      </c>
      <c r="B58" s="16" t="s">
        <v>131</v>
      </c>
      <c r="C58" s="8" t="s">
        <v>13</v>
      </c>
      <c r="D58" s="8" t="s">
        <v>14</v>
      </c>
      <c r="E58" s="9" t="s">
        <v>24</v>
      </c>
      <c r="F58" s="30" t="s">
        <v>91</v>
      </c>
      <c r="G58" s="9" t="s">
        <v>29</v>
      </c>
      <c r="H58" s="8" t="s">
        <v>74</v>
      </c>
      <c r="I58" s="20">
        <v>45526</v>
      </c>
      <c r="J58" s="22">
        <f ca="1">TODAY()-I58</f>
        <v>582</v>
      </c>
      <c r="K58" s="27"/>
      <c r="L58" s="20">
        <v>35102</v>
      </c>
    </row>
    <row r="59" spans="1:12" x14ac:dyDescent="0.25">
      <c r="A59" s="18">
        <v>2078</v>
      </c>
      <c r="B59" s="16" t="s">
        <v>132</v>
      </c>
      <c r="C59" s="8" t="s">
        <v>20</v>
      </c>
      <c r="D59" s="8" t="s">
        <v>14</v>
      </c>
      <c r="E59" s="9" t="s">
        <v>24</v>
      </c>
      <c r="F59" s="11" t="s">
        <v>133</v>
      </c>
      <c r="G59" s="9" t="s">
        <v>17</v>
      </c>
      <c r="H59" s="8" t="s">
        <v>45</v>
      </c>
      <c r="I59" s="20">
        <v>45572</v>
      </c>
      <c r="J59" s="13">
        <f t="shared" ref="J59:J91" ca="1" si="1">IF(K59&lt;&gt;"",K59-I59,TODAY()-I59)</f>
        <v>536</v>
      </c>
      <c r="K59" s="27"/>
      <c r="L59" s="20">
        <v>35150</v>
      </c>
    </row>
    <row r="60" spans="1:12" x14ac:dyDescent="0.25">
      <c r="A60" s="18">
        <v>3007</v>
      </c>
      <c r="B60" s="16" t="s">
        <v>134</v>
      </c>
      <c r="C60" s="8" t="s">
        <v>20</v>
      </c>
      <c r="D60" s="8" t="s">
        <v>14</v>
      </c>
      <c r="E60" s="9" t="s">
        <v>24</v>
      </c>
      <c r="F60" s="11" t="s">
        <v>135</v>
      </c>
      <c r="G60" s="9" t="s">
        <v>51</v>
      </c>
      <c r="H60" s="8" t="s">
        <v>45</v>
      </c>
      <c r="I60" s="20">
        <v>45323</v>
      </c>
      <c r="J60" s="13">
        <f t="shared" ca="1" si="1"/>
        <v>257</v>
      </c>
      <c r="K60" s="20">
        <v>45580</v>
      </c>
      <c r="L60" s="20">
        <v>38680</v>
      </c>
    </row>
    <row r="61" spans="1:12" x14ac:dyDescent="0.25">
      <c r="A61" s="18">
        <v>2162</v>
      </c>
      <c r="B61" s="16" t="s">
        <v>136</v>
      </c>
      <c r="C61" s="8" t="s">
        <v>13</v>
      </c>
      <c r="D61" s="8" t="s">
        <v>14</v>
      </c>
      <c r="E61" s="9" t="s">
        <v>24</v>
      </c>
      <c r="F61" s="19" t="s">
        <v>137</v>
      </c>
      <c r="G61" s="9" t="s">
        <v>17</v>
      </c>
      <c r="H61" s="8" t="s">
        <v>45</v>
      </c>
      <c r="I61" s="20">
        <v>45999</v>
      </c>
      <c r="J61" s="13">
        <f t="shared" ca="1" si="1"/>
        <v>109</v>
      </c>
      <c r="K61" s="27"/>
      <c r="L61" s="20">
        <v>33992</v>
      </c>
    </row>
    <row r="62" spans="1:12" x14ac:dyDescent="0.25">
      <c r="A62" s="18">
        <v>2014</v>
      </c>
      <c r="B62" s="16" t="s">
        <v>138</v>
      </c>
      <c r="C62" s="8" t="s">
        <v>20</v>
      </c>
      <c r="D62" s="8" t="s">
        <v>14</v>
      </c>
      <c r="E62" s="9" t="s">
        <v>24</v>
      </c>
      <c r="F62" s="11" t="s">
        <v>139</v>
      </c>
      <c r="G62" s="9" t="s">
        <v>51</v>
      </c>
      <c r="H62" s="8" t="s">
        <v>22</v>
      </c>
      <c r="I62" s="20">
        <v>45173</v>
      </c>
      <c r="J62" s="13">
        <f t="shared" ca="1" si="1"/>
        <v>501</v>
      </c>
      <c r="K62" s="20">
        <v>45674</v>
      </c>
      <c r="L62" s="20">
        <v>37882</v>
      </c>
    </row>
    <row r="63" spans="1:12" x14ac:dyDescent="0.25">
      <c r="A63" s="18">
        <v>2130</v>
      </c>
      <c r="B63" s="16" t="s">
        <v>140</v>
      </c>
      <c r="C63" s="8" t="s">
        <v>20</v>
      </c>
      <c r="D63" s="8" t="s">
        <v>14</v>
      </c>
      <c r="E63" s="9" t="s">
        <v>24</v>
      </c>
      <c r="F63" s="11" t="s">
        <v>25</v>
      </c>
      <c r="G63" s="9" t="s">
        <v>42</v>
      </c>
      <c r="H63" s="8" t="s">
        <v>77</v>
      </c>
      <c r="I63" s="20">
        <v>45862</v>
      </c>
      <c r="J63" s="13">
        <f t="shared" ca="1" si="1"/>
        <v>43</v>
      </c>
      <c r="K63" s="20">
        <v>45905</v>
      </c>
      <c r="L63" s="20">
        <v>38639</v>
      </c>
    </row>
    <row r="64" spans="1:12" x14ac:dyDescent="0.25">
      <c r="A64" s="18">
        <v>2152</v>
      </c>
      <c r="B64" s="16" t="s">
        <v>141</v>
      </c>
      <c r="C64" s="8" t="s">
        <v>13</v>
      </c>
      <c r="D64" s="8" t="s">
        <v>14</v>
      </c>
      <c r="E64" s="9" t="s">
        <v>24</v>
      </c>
      <c r="F64" s="19" t="s">
        <v>25</v>
      </c>
      <c r="G64" s="9" t="s">
        <v>54</v>
      </c>
      <c r="H64" s="8" t="s">
        <v>34</v>
      </c>
      <c r="I64" s="20">
        <v>45936</v>
      </c>
      <c r="J64" s="13">
        <f t="shared" ca="1" si="1"/>
        <v>172</v>
      </c>
      <c r="K64" s="27"/>
      <c r="L64" s="20">
        <v>35859</v>
      </c>
    </row>
    <row r="65" spans="1:12" x14ac:dyDescent="0.25">
      <c r="A65" s="18">
        <v>3077</v>
      </c>
      <c r="B65" s="16" t="s">
        <v>142</v>
      </c>
      <c r="C65" s="8" t="s">
        <v>20</v>
      </c>
      <c r="D65" s="8" t="s">
        <v>14</v>
      </c>
      <c r="E65" s="9" t="s">
        <v>15</v>
      </c>
      <c r="F65" s="19" t="s">
        <v>143</v>
      </c>
      <c r="G65" s="9" t="s">
        <v>17</v>
      </c>
      <c r="H65" s="8" t="s">
        <v>39</v>
      </c>
      <c r="I65" s="20">
        <v>45825</v>
      </c>
      <c r="J65" s="13">
        <f t="shared" ca="1" si="1"/>
        <v>89</v>
      </c>
      <c r="K65" s="20">
        <v>45914</v>
      </c>
      <c r="L65" s="20">
        <v>35687</v>
      </c>
    </row>
    <row r="66" spans="1:12" x14ac:dyDescent="0.25">
      <c r="A66" s="18">
        <v>3082</v>
      </c>
      <c r="B66" s="16" t="s">
        <v>144</v>
      </c>
      <c r="C66" s="8" t="s">
        <v>20</v>
      </c>
      <c r="D66" s="8" t="s">
        <v>14</v>
      </c>
      <c r="E66" s="9" t="s">
        <v>15</v>
      </c>
      <c r="F66" s="19" t="s">
        <v>33</v>
      </c>
      <c r="G66" s="9" t="s">
        <v>57</v>
      </c>
      <c r="H66" s="8" t="s">
        <v>49</v>
      </c>
      <c r="I66" s="20">
        <v>45898</v>
      </c>
      <c r="J66" s="13">
        <f t="shared" ca="1" si="1"/>
        <v>210</v>
      </c>
      <c r="K66" s="27"/>
      <c r="L66" s="20">
        <v>32674</v>
      </c>
    </row>
    <row r="67" spans="1:12" x14ac:dyDescent="0.25">
      <c r="A67" s="18">
        <v>2137</v>
      </c>
      <c r="B67" s="16" t="s">
        <v>145</v>
      </c>
      <c r="C67" s="8" t="s">
        <v>20</v>
      </c>
      <c r="D67" s="8" t="s">
        <v>14</v>
      </c>
      <c r="E67" s="9" t="s">
        <v>24</v>
      </c>
      <c r="F67" s="11" t="s">
        <v>146</v>
      </c>
      <c r="G67" s="9" t="s">
        <v>17</v>
      </c>
      <c r="H67" s="8" t="s">
        <v>45</v>
      </c>
      <c r="I67" s="20">
        <v>45881</v>
      </c>
      <c r="J67" s="13">
        <f t="shared" ca="1" si="1"/>
        <v>59</v>
      </c>
      <c r="K67" s="20">
        <v>45940</v>
      </c>
      <c r="L67" s="20">
        <v>34251</v>
      </c>
    </row>
    <row r="68" spans="1:12" x14ac:dyDescent="0.25">
      <c r="A68" s="25"/>
      <c r="B68" s="16" t="s">
        <v>147</v>
      </c>
      <c r="C68" s="8" t="s">
        <v>13</v>
      </c>
      <c r="D68" s="8" t="s">
        <v>14</v>
      </c>
      <c r="E68" s="9" t="s">
        <v>148</v>
      </c>
      <c r="F68" s="11" t="s">
        <v>149</v>
      </c>
      <c r="G68" s="9" t="s">
        <v>54</v>
      </c>
      <c r="H68" s="8" t="s">
        <v>22</v>
      </c>
      <c r="I68" s="20">
        <v>45792</v>
      </c>
      <c r="J68" s="13">
        <f t="shared" ca="1" si="1"/>
        <v>316</v>
      </c>
      <c r="K68" s="27"/>
      <c r="L68" s="20">
        <v>32123</v>
      </c>
    </row>
    <row r="69" spans="1:12" x14ac:dyDescent="0.25">
      <c r="A69" s="18">
        <v>2011</v>
      </c>
      <c r="B69" s="16" t="s">
        <v>150</v>
      </c>
      <c r="C69" s="8" t="s">
        <v>20</v>
      </c>
      <c r="D69" s="8" t="s">
        <v>14</v>
      </c>
      <c r="E69" s="9" t="s">
        <v>24</v>
      </c>
      <c r="F69" s="11" t="s">
        <v>151</v>
      </c>
      <c r="G69" s="9" t="s">
        <v>51</v>
      </c>
      <c r="H69" s="8" t="s">
        <v>45</v>
      </c>
      <c r="I69" s="20">
        <v>45173</v>
      </c>
      <c r="J69" s="13">
        <f t="shared" ca="1" si="1"/>
        <v>590</v>
      </c>
      <c r="K69" s="20">
        <v>45763</v>
      </c>
      <c r="L69" s="20">
        <v>35761</v>
      </c>
    </row>
    <row r="70" spans="1:12" x14ac:dyDescent="0.25">
      <c r="A70" s="18">
        <v>2107</v>
      </c>
      <c r="B70" s="16" t="s">
        <v>152</v>
      </c>
      <c r="C70" s="8" t="s">
        <v>20</v>
      </c>
      <c r="D70" s="8" t="s">
        <v>14</v>
      </c>
      <c r="E70" s="9" t="s">
        <v>24</v>
      </c>
      <c r="F70" s="11" t="s">
        <v>83</v>
      </c>
      <c r="G70" s="24"/>
      <c r="H70" s="8" t="s">
        <v>62</v>
      </c>
      <c r="I70" s="20">
        <v>45707</v>
      </c>
      <c r="J70" s="13">
        <f t="shared" ca="1" si="1"/>
        <v>86</v>
      </c>
      <c r="K70" s="20">
        <v>45793</v>
      </c>
      <c r="L70" s="20">
        <v>37577</v>
      </c>
    </row>
    <row r="71" spans="1:12" x14ac:dyDescent="0.25">
      <c r="A71" s="18">
        <v>2089</v>
      </c>
      <c r="B71" s="16" t="s">
        <v>153</v>
      </c>
      <c r="C71" s="8" t="s">
        <v>31</v>
      </c>
      <c r="D71" s="8" t="s">
        <v>14</v>
      </c>
      <c r="E71" s="9" t="s">
        <v>24</v>
      </c>
      <c r="F71" s="19" t="s">
        <v>154</v>
      </c>
      <c r="G71" s="9" t="s">
        <v>29</v>
      </c>
      <c r="H71" s="8" t="s">
        <v>62</v>
      </c>
      <c r="I71" s="20">
        <v>45625</v>
      </c>
      <c r="J71" s="13">
        <f t="shared" ca="1" si="1"/>
        <v>483</v>
      </c>
      <c r="K71" s="27"/>
      <c r="L71" s="20">
        <v>37224</v>
      </c>
    </row>
    <row r="72" spans="1:12" x14ac:dyDescent="0.25">
      <c r="A72" s="18">
        <v>2034</v>
      </c>
      <c r="B72" s="16" t="s">
        <v>155</v>
      </c>
      <c r="C72" s="8" t="s">
        <v>13</v>
      </c>
      <c r="D72" s="8" t="s">
        <v>14</v>
      </c>
      <c r="E72" s="9" t="s">
        <v>24</v>
      </c>
      <c r="F72" s="19" t="s">
        <v>156</v>
      </c>
      <c r="G72" s="9" t="s">
        <v>54</v>
      </c>
      <c r="H72" s="8" t="s">
        <v>34</v>
      </c>
      <c r="I72" s="20">
        <v>45413</v>
      </c>
      <c r="J72" s="13">
        <f t="shared" ca="1" si="1"/>
        <v>695</v>
      </c>
      <c r="K72" s="27"/>
      <c r="L72" s="20">
        <v>37256</v>
      </c>
    </row>
    <row r="73" spans="1:12" x14ac:dyDescent="0.25">
      <c r="A73" s="18">
        <v>2155</v>
      </c>
      <c r="B73" s="16" t="s">
        <v>157</v>
      </c>
      <c r="C73" s="8" t="s">
        <v>13</v>
      </c>
      <c r="D73" s="8" t="s">
        <v>14</v>
      </c>
      <c r="E73" s="9" t="s">
        <v>24</v>
      </c>
      <c r="F73" s="19" t="s">
        <v>25</v>
      </c>
      <c r="G73" s="9" t="s">
        <v>29</v>
      </c>
      <c r="H73" s="8" t="s">
        <v>62</v>
      </c>
      <c r="I73" s="20">
        <v>45945</v>
      </c>
      <c r="J73" s="13">
        <f t="shared" ca="1" si="1"/>
        <v>163</v>
      </c>
      <c r="K73" s="27"/>
      <c r="L73" s="20">
        <v>37773</v>
      </c>
    </row>
    <row r="74" spans="1:12" x14ac:dyDescent="0.25">
      <c r="A74" s="18">
        <v>2123</v>
      </c>
      <c r="B74" s="16" t="s">
        <v>158</v>
      </c>
      <c r="C74" s="8" t="s">
        <v>13</v>
      </c>
      <c r="D74" s="8" t="s">
        <v>14</v>
      </c>
      <c r="E74" s="9" t="s">
        <v>24</v>
      </c>
      <c r="F74" s="19" t="s">
        <v>154</v>
      </c>
      <c r="G74" s="9" t="s">
        <v>29</v>
      </c>
      <c r="H74" s="8" t="s">
        <v>71</v>
      </c>
      <c r="I74" s="20">
        <v>45797</v>
      </c>
      <c r="J74" s="13">
        <f t="shared" ca="1" si="1"/>
        <v>311</v>
      </c>
      <c r="K74" s="27"/>
      <c r="L74" s="20">
        <v>38172</v>
      </c>
    </row>
    <row r="75" spans="1:12" x14ac:dyDescent="0.25">
      <c r="A75" s="18">
        <v>2087</v>
      </c>
      <c r="B75" s="16" t="s">
        <v>159</v>
      </c>
      <c r="C75" s="8" t="s">
        <v>20</v>
      </c>
      <c r="D75" s="8" t="s">
        <v>14</v>
      </c>
      <c r="E75" s="9" t="s">
        <v>24</v>
      </c>
      <c r="F75" s="11" t="s">
        <v>160</v>
      </c>
      <c r="G75" s="9" t="s">
        <v>17</v>
      </c>
      <c r="H75" s="8" t="s">
        <v>86</v>
      </c>
      <c r="I75" s="20">
        <v>45603</v>
      </c>
      <c r="J75" s="13">
        <f t="shared" ca="1" si="1"/>
        <v>275</v>
      </c>
      <c r="K75" s="20">
        <v>45878</v>
      </c>
      <c r="L75" s="20">
        <v>30699</v>
      </c>
    </row>
    <row r="76" spans="1:12" x14ac:dyDescent="0.25">
      <c r="A76" s="18">
        <v>2154</v>
      </c>
      <c r="B76" s="16" t="s">
        <v>161</v>
      </c>
      <c r="C76" s="8" t="s">
        <v>13</v>
      </c>
      <c r="D76" s="8" t="s">
        <v>14</v>
      </c>
      <c r="E76" s="9" t="s">
        <v>24</v>
      </c>
      <c r="F76" s="19" t="s">
        <v>95</v>
      </c>
      <c r="G76" s="9" t="s">
        <v>29</v>
      </c>
      <c r="H76" s="11" t="s">
        <v>45</v>
      </c>
      <c r="I76" s="20">
        <v>45944</v>
      </c>
      <c r="J76" s="13">
        <f t="shared" ca="1" si="1"/>
        <v>164</v>
      </c>
      <c r="K76" s="27"/>
      <c r="L76" s="20">
        <v>38439</v>
      </c>
    </row>
    <row r="77" spans="1:12" x14ac:dyDescent="0.25">
      <c r="A77" s="18">
        <v>2116</v>
      </c>
      <c r="B77" s="16" t="s">
        <v>162</v>
      </c>
      <c r="C77" s="8" t="s">
        <v>20</v>
      </c>
      <c r="D77" s="8" t="s">
        <v>14</v>
      </c>
      <c r="E77" s="9" t="s">
        <v>24</v>
      </c>
      <c r="F77" s="11" t="s">
        <v>33</v>
      </c>
      <c r="G77" s="9" t="s">
        <v>29</v>
      </c>
      <c r="H77" s="8" t="s">
        <v>71</v>
      </c>
      <c r="I77" s="20">
        <v>45734</v>
      </c>
      <c r="J77" s="13">
        <f t="shared" ca="1" si="1"/>
        <v>374</v>
      </c>
      <c r="K77" s="27"/>
      <c r="L77" s="20">
        <v>36903</v>
      </c>
    </row>
    <row r="78" spans="1:12" x14ac:dyDescent="0.25">
      <c r="A78" s="18">
        <v>3073</v>
      </c>
      <c r="B78" s="31" t="s">
        <v>163</v>
      </c>
      <c r="C78" s="8" t="s">
        <v>20</v>
      </c>
      <c r="D78" s="8" t="s">
        <v>14</v>
      </c>
      <c r="E78" s="9" t="s">
        <v>15</v>
      </c>
      <c r="F78" s="19" t="s">
        <v>143</v>
      </c>
      <c r="G78" s="9" t="s">
        <v>164</v>
      </c>
      <c r="H78" s="8" t="s">
        <v>39</v>
      </c>
      <c r="I78" s="20">
        <v>45701</v>
      </c>
      <c r="J78" s="13">
        <f t="shared" ca="1" si="1"/>
        <v>90</v>
      </c>
      <c r="K78" s="20">
        <v>45791</v>
      </c>
      <c r="L78" s="20">
        <v>32369</v>
      </c>
    </row>
    <row r="79" spans="1:12" x14ac:dyDescent="0.25">
      <c r="A79" s="18">
        <v>3091</v>
      </c>
      <c r="B79" s="16" t="s">
        <v>165</v>
      </c>
      <c r="C79" s="8" t="s">
        <v>13</v>
      </c>
      <c r="D79" s="8" t="s">
        <v>14</v>
      </c>
      <c r="E79" s="9" t="s">
        <v>15</v>
      </c>
      <c r="F79" s="19" t="s">
        <v>111</v>
      </c>
      <c r="G79" s="9" t="s">
        <v>17</v>
      </c>
      <c r="H79" s="8" t="s">
        <v>18</v>
      </c>
      <c r="I79" s="20">
        <v>46041</v>
      </c>
      <c r="J79" s="13">
        <f t="shared" ca="1" si="1"/>
        <v>67</v>
      </c>
      <c r="K79" s="27"/>
      <c r="L79" s="20">
        <v>38567</v>
      </c>
    </row>
    <row r="80" spans="1:12" x14ac:dyDescent="0.25">
      <c r="A80" s="18">
        <v>3088</v>
      </c>
      <c r="B80" s="16" t="s">
        <v>166</v>
      </c>
      <c r="C80" s="8" t="s">
        <v>13</v>
      </c>
      <c r="D80" s="8" t="s">
        <v>14</v>
      </c>
      <c r="E80" s="9" t="s">
        <v>15</v>
      </c>
      <c r="F80" s="11" t="s">
        <v>25</v>
      </c>
      <c r="G80" s="9" t="s">
        <v>57</v>
      </c>
      <c r="H80" s="8" t="s">
        <v>49</v>
      </c>
      <c r="I80" s="20">
        <v>45950</v>
      </c>
      <c r="J80" s="13">
        <f t="shared" ca="1" si="1"/>
        <v>158</v>
      </c>
      <c r="K80" s="27"/>
      <c r="L80" s="20">
        <v>38250</v>
      </c>
    </row>
    <row r="81" spans="1:12" x14ac:dyDescent="0.25">
      <c r="A81" s="18">
        <v>2051</v>
      </c>
      <c r="B81" s="16" t="s">
        <v>167</v>
      </c>
      <c r="C81" s="8" t="s">
        <v>13</v>
      </c>
      <c r="D81" s="8" t="s">
        <v>14</v>
      </c>
      <c r="E81" s="9" t="s">
        <v>24</v>
      </c>
      <c r="F81" s="19" t="s">
        <v>154</v>
      </c>
      <c r="G81" s="9" t="s">
        <v>42</v>
      </c>
      <c r="H81" s="8" t="s">
        <v>77</v>
      </c>
      <c r="I81" s="20">
        <v>45435</v>
      </c>
      <c r="J81" s="13">
        <f t="shared" ca="1" si="1"/>
        <v>673</v>
      </c>
      <c r="K81" s="27"/>
      <c r="L81" s="20">
        <v>34252</v>
      </c>
    </row>
    <row r="82" spans="1:12" x14ac:dyDescent="0.25">
      <c r="A82" s="18">
        <v>3062</v>
      </c>
      <c r="B82" s="16" t="s">
        <v>168</v>
      </c>
      <c r="C82" s="8" t="s">
        <v>20</v>
      </c>
      <c r="D82" s="8" t="s">
        <v>14</v>
      </c>
      <c r="E82" s="9" t="s">
        <v>15</v>
      </c>
      <c r="F82" s="19" t="s">
        <v>111</v>
      </c>
      <c r="G82" s="9" t="s">
        <v>57</v>
      </c>
      <c r="H82" s="8" t="s">
        <v>39</v>
      </c>
      <c r="I82" s="20">
        <v>45629</v>
      </c>
      <c r="J82" s="13">
        <f t="shared" ca="1" si="1"/>
        <v>86</v>
      </c>
      <c r="K82" s="20">
        <v>45715</v>
      </c>
      <c r="L82" s="20">
        <v>38327</v>
      </c>
    </row>
    <row r="83" spans="1:12" x14ac:dyDescent="0.25">
      <c r="A83" s="18">
        <v>2097</v>
      </c>
      <c r="B83" s="16" t="s">
        <v>169</v>
      </c>
      <c r="C83" s="8" t="s">
        <v>20</v>
      </c>
      <c r="D83" s="8" t="s">
        <v>14</v>
      </c>
      <c r="E83" s="9" t="s">
        <v>24</v>
      </c>
      <c r="F83" s="11" t="s">
        <v>170</v>
      </c>
      <c r="G83" s="9" t="s">
        <v>29</v>
      </c>
      <c r="H83" s="8" t="s">
        <v>60</v>
      </c>
      <c r="I83" s="20">
        <v>45689</v>
      </c>
      <c r="J83" s="13">
        <f t="shared" ca="1" si="1"/>
        <v>187</v>
      </c>
      <c r="K83" s="20">
        <v>45876</v>
      </c>
      <c r="L83" s="20">
        <v>36386</v>
      </c>
    </row>
    <row r="84" spans="1:12" x14ac:dyDescent="0.25">
      <c r="A84" s="18">
        <v>2036</v>
      </c>
      <c r="B84" s="16" t="s">
        <v>171</v>
      </c>
      <c r="C84" s="8" t="s">
        <v>20</v>
      </c>
      <c r="D84" s="8" t="s">
        <v>14</v>
      </c>
      <c r="E84" s="9" t="s">
        <v>24</v>
      </c>
      <c r="F84" s="11" t="s">
        <v>154</v>
      </c>
      <c r="G84" s="9" t="s">
        <v>42</v>
      </c>
      <c r="H84" s="8" t="s">
        <v>77</v>
      </c>
      <c r="I84" s="20">
        <v>45413</v>
      </c>
      <c r="J84" s="13">
        <f t="shared" ca="1" si="1"/>
        <v>434</v>
      </c>
      <c r="K84" s="20">
        <v>45847</v>
      </c>
      <c r="L84" s="20">
        <v>35508</v>
      </c>
    </row>
    <row r="85" spans="1:12" x14ac:dyDescent="0.25">
      <c r="A85" s="18">
        <v>2158</v>
      </c>
      <c r="B85" s="16" t="s">
        <v>173</v>
      </c>
      <c r="C85" s="8" t="s">
        <v>13</v>
      </c>
      <c r="D85" s="8" t="s">
        <v>14</v>
      </c>
      <c r="E85" s="9" t="s">
        <v>24</v>
      </c>
      <c r="F85" s="19" t="s">
        <v>174</v>
      </c>
      <c r="G85" s="9" t="s">
        <v>17</v>
      </c>
      <c r="H85" s="8" t="s">
        <v>45</v>
      </c>
      <c r="I85" s="20">
        <v>45985</v>
      </c>
      <c r="J85" s="13">
        <f t="shared" ca="1" si="1"/>
        <v>123</v>
      </c>
      <c r="K85" s="27"/>
      <c r="L85" s="20">
        <v>33831</v>
      </c>
    </row>
    <row r="86" spans="1:12" x14ac:dyDescent="0.25">
      <c r="A86" s="18">
        <v>2075</v>
      </c>
      <c r="B86" s="16" t="s">
        <v>176</v>
      </c>
      <c r="C86" s="8" t="s">
        <v>20</v>
      </c>
      <c r="D86" s="8" t="s">
        <v>14</v>
      </c>
      <c r="E86" s="9" t="s">
        <v>24</v>
      </c>
      <c r="F86" s="11" t="s">
        <v>33</v>
      </c>
      <c r="G86" s="9" t="s">
        <v>51</v>
      </c>
      <c r="H86" s="8" t="s">
        <v>69</v>
      </c>
      <c r="I86" s="20">
        <v>45558</v>
      </c>
      <c r="J86" s="13">
        <f t="shared" ca="1" si="1"/>
        <v>43</v>
      </c>
      <c r="K86" s="20">
        <v>45601</v>
      </c>
      <c r="L86" s="20">
        <v>38821</v>
      </c>
    </row>
    <row r="87" spans="1:12" x14ac:dyDescent="0.25">
      <c r="A87" s="18">
        <v>2132</v>
      </c>
      <c r="B87" s="16" t="s">
        <v>177</v>
      </c>
      <c r="C87" s="8" t="s">
        <v>20</v>
      </c>
      <c r="D87" s="8" t="s">
        <v>14</v>
      </c>
      <c r="E87" s="9" t="s">
        <v>24</v>
      </c>
      <c r="F87" s="11" t="s">
        <v>25</v>
      </c>
      <c r="G87" s="9" t="s">
        <v>29</v>
      </c>
      <c r="H87" s="8" t="s">
        <v>62</v>
      </c>
      <c r="I87" s="20">
        <v>45870</v>
      </c>
      <c r="J87" s="13">
        <f t="shared" ca="1" si="1"/>
        <v>238</v>
      </c>
      <c r="K87" s="27"/>
      <c r="L87" s="20">
        <v>29825</v>
      </c>
    </row>
    <row r="88" spans="1:12" x14ac:dyDescent="0.25">
      <c r="A88" s="18">
        <v>2055</v>
      </c>
      <c r="B88" s="16" t="s">
        <v>179</v>
      </c>
      <c r="C88" s="8" t="s">
        <v>20</v>
      </c>
      <c r="D88" s="8" t="s">
        <v>14</v>
      </c>
      <c r="E88" s="9" t="s">
        <v>24</v>
      </c>
      <c r="F88" s="11" t="s">
        <v>33</v>
      </c>
      <c r="G88" s="9" t="s">
        <v>51</v>
      </c>
      <c r="H88" s="8" t="s">
        <v>69</v>
      </c>
      <c r="I88" s="20">
        <v>45450</v>
      </c>
      <c r="J88" s="13">
        <f t="shared" ca="1" si="1"/>
        <v>89</v>
      </c>
      <c r="K88" s="20">
        <v>45539</v>
      </c>
      <c r="L88" s="20">
        <v>34866</v>
      </c>
    </row>
    <row r="89" spans="1:12" x14ac:dyDescent="0.25">
      <c r="A89" s="18">
        <v>2088</v>
      </c>
      <c r="B89" s="16" t="s">
        <v>180</v>
      </c>
      <c r="C89" s="8" t="s">
        <v>20</v>
      </c>
      <c r="D89" s="8" t="s">
        <v>14</v>
      </c>
      <c r="E89" s="9" t="s">
        <v>24</v>
      </c>
      <c r="F89" s="11" t="s">
        <v>109</v>
      </c>
      <c r="G89" s="9" t="s">
        <v>54</v>
      </c>
      <c r="H89" s="8" t="s">
        <v>66</v>
      </c>
      <c r="I89" s="20">
        <v>45608</v>
      </c>
      <c r="J89" s="13">
        <f t="shared" ca="1" si="1"/>
        <v>500</v>
      </c>
      <c r="K89" s="27"/>
      <c r="L89" s="20">
        <v>35642</v>
      </c>
    </row>
    <row r="90" spans="1:12" x14ac:dyDescent="0.25">
      <c r="A90" s="18">
        <v>3087</v>
      </c>
      <c r="B90" s="16" t="s">
        <v>181</v>
      </c>
      <c r="C90" s="8" t="s">
        <v>13</v>
      </c>
      <c r="D90" s="8" t="s">
        <v>14</v>
      </c>
      <c r="E90" s="9" t="s">
        <v>15</v>
      </c>
      <c r="F90" s="19" t="s">
        <v>116</v>
      </c>
      <c r="G90" s="9" t="s">
        <v>17</v>
      </c>
      <c r="H90" s="8" t="s">
        <v>18</v>
      </c>
      <c r="I90" s="20">
        <v>45950</v>
      </c>
      <c r="J90" s="13">
        <f t="shared" ca="1" si="1"/>
        <v>158</v>
      </c>
      <c r="K90" s="27"/>
      <c r="L90" s="20">
        <v>35735</v>
      </c>
    </row>
    <row r="91" spans="1:12" x14ac:dyDescent="0.25">
      <c r="A91" s="25"/>
      <c r="B91" s="16" t="s">
        <v>182</v>
      </c>
      <c r="C91" s="8" t="s">
        <v>13</v>
      </c>
      <c r="D91" s="8" t="s">
        <v>14</v>
      </c>
      <c r="E91" s="9" t="s">
        <v>148</v>
      </c>
      <c r="F91" s="11" t="s">
        <v>149</v>
      </c>
      <c r="G91" s="9" t="s">
        <v>54</v>
      </c>
      <c r="H91" s="8" t="s">
        <v>22</v>
      </c>
      <c r="I91" s="20">
        <v>45764</v>
      </c>
      <c r="J91" s="13">
        <f t="shared" ca="1" si="1"/>
        <v>344</v>
      </c>
      <c r="K91" s="27"/>
      <c r="L91" s="20">
        <v>38192</v>
      </c>
    </row>
    <row r="92" spans="1:12" x14ac:dyDescent="0.25">
      <c r="A92" s="9">
        <v>2102</v>
      </c>
      <c r="B92" s="16" t="s">
        <v>183</v>
      </c>
      <c r="C92" s="8" t="s">
        <v>20</v>
      </c>
      <c r="D92" s="8" t="s">
        <v>14</v>
      </c>
      <c r="E92" s="9" t="s">
        <v>24</v>
      </c>
      <c r="F92" s="23"/>
      <c r="G92" s="9" t="s">
        <v>42</v>
      </c>
      <c r="H92" s="8" t="s">
        <v>30</v>
      </c>
      <c r="I92" s="20">
        <v>45695</v>
      </c>
      <c r="J92" s="22">
        <f ca="1">TODAY()-I92</f>
        <v>413</v>
      </c>
      <c r="K92" s="20">
        <v>45784</v>
      </c>
      <c r="L92" s="20">
        <v>36536</v>
      </c>
    </row>
    <row r="93" spans="1:12" x14ac:dyDescent="0.25">
      <c r="A93" s="18">
        <v>2147</v>
      </c>
      <c r="B93" s="16" t="s">
        <v>184</v>
      </c>
      <c r="C93" s="8" t="s">
        <v>20</v>
      </c>
      <c r="D93" s="8" t="s">
        <v>14</v>
      </c>
      <c r="E93" s="9" t="s">
        <v>24</v>
      </c>
      <c r="F93" s="11" t="s">
        <v>25</v>
      </c>
      <c r="G93" s="9" t="s">
        <v>42</v>
      </c>
      <c r="H93" s="8" t="s">
        <v>26</v>
      </c>
      <c r="I93" s="20">
        <v>45917</v>
      </c>
      <c r="J93" s="22">
        <f ca="1">TODAY()-I93</f>
        <v>191</v>
      </c>
      <c r="K93" s="27"/>
      <c r="L93" s="20">
        <v>33006</v>
      </c>
    </row>
    <row r="94" spans="1:12" x14ac:dyDescent="0.25">
      <c r="A94" s="9">
        <v>3064</v>
      </c>
      <c r="B94" s="16" t="s">
        <v>185</v>
      </c>
      <c r="C94" s="8" t="s">
        <v>20</v>
      </c>
      <c r="D94" s="8" t="s">
        <v>14</v>
      </c>
      <c r="E94" s="32" t="s">
        <v>15</v>
      </c>
      <c r="F94" s="19" t="s">
        <v>111</v>
      </c>
      <c r="G94" s="9" t="s">
        <v>57</v>
      </c>
      <c r="H94" s="8" t="s">
        <v>39</v>
      </c>
      <c r="I94" s="20">
        <v>45678</v>
      </c>
      <c r="J94" s="22">
        <f ca="1">TODAY()-I94</f>
        <v>430</v>
      </c>
      <c r="K94" s="20">
        <v>45678</v>
      </c>
      <c r="L94" s="20">
        <v>35508</v>
      </c>
    </row>
    <row r="95" spans="1:12" x14ac:dyDescent="0.25">
      <c r="A95" s="18">
        <v>2026</v>
      </c>
      <c r="B95" s="16" t="s">
        <v>186</v>
      </c>
      <c r="C95" s="8" t="s">
        <v>20</v>
      </c>
      <c r="D95" s="8" t="s">
        <v>36</v>
      </c>
      <c r="E95" s="9" t="s">
        <v>24</v>
      </c>
      <c r="F95" s="33"/>
      <c r="G95" s="9" t="s">
        <v>38</v>
      </c>
      <c r="H95" s="8" t="s">
        <v>30</v>
      </c>
      <c r="I95" s="20">
        <v>45323</v>
      </c>
      <c r="J95" s="13">
        <f t="shared" ref="J95:J137" ca="1" si="2">IF(K95&lt;&gt;"",K95-I95,TODAY()-I95)</f>
        <v>600</v>
      </c>
      <c r="K95" s="20">
        <v>45923</v>
      </c>
      <c r="L95" s="20">
        <v>36426</v>
      </c>
    </row>
    <row r="96" spans="1:12" x14ac:dyDescent="0.25">
      <c r="A96" s="18">
        <v>2060</v>
      </c>
      <c r="B96" s="16" t="s">
        <v>187</v>
      </c>
      <c r="C96" s="8" t="s">
        <v>20</v>
      </c>
      <c r="D96" s="8" t="s">
        <v>14</v>
      </c>
      <c r="E96" s="9" t="s">
        <v>24</v>
      </c>
      <c r="F96" s="11" t="s">
        <v>28</v>
      </c>
      <c r="G96" s="9" t="s">
        <v>42</v>
      </c>
      <c r="H96" s="8" t="s">
        <v>30</v>
      </c>
      <c r="I96" s="20">
        <v>45486</v>
      </c>
      <c r="J96" s="13">
        <f t="shared" ca="1" si="2"/>
        <v>89</v>
      </c>
      <c r="K96" s="20">
        <v>45575</v>
      </c>
      <c r="L96" s="20">
        <v>38031</v>
      </c>
    </row>
    <row r="97" spans="1:12" x14ac:dyDescent="0.25">
      <c r="A97" s="18">
        <v>2153</v>
      </c>
      <c r="B97" s="16" t="s">
        <v>188</v>
      </c>
      <c r="C97" s="8" t="s">
        <v>20</v>
      </c>
      <c r="D97" s="8" t="s">
        <v>14</v>
      </c>
      <c r="E97" s="9" t="s">
        <v>24</v>
      </c>
      <c r="F97" s="11" t="s">
        <v>25</v>
      </c>
      <c r="G97" s="9" t="s">
        <v>29</v>
      </c>
      <c r="H97" s="8" t="s">
        <v>62</v>
      </c>
      <c r="I97" s="20">
        <v>45943</v>
      </c>
      <c r="J97" s="13">
        <f t="shared" ca="1" si="2"/>
        <v>165</v>
      </c>
      <c r="K97" s="27"/>
      <c r="L97" s="20">
        <v>35670</v>
      </c>
    </row>
    <row r="98" spans="1:12" x14ac:dyDescent="0.25">
      <c r="A98" s="18">
        <v>2170</v>
      </c>
      <c r="B98" s="16" t="s">
        <v>189</v>
      </c>
      <c r="C98" s="8" t="s">
        <v>13</v>
      </c>
      <c r="D98" s="8" t="s">
        <v>14</v>
      </c>
      <c r="E98" s="9" t="s">
        <v>24</v>
      </c>
      <c r="F98" s="19" t="s">
        <v>25</v>
      </c>
      <c r="G98" s="9" t="s">
        <v>29</v>
      </c>
      <c r="H98" s="8" t="s">
        <v>71</v>
      </c>
      <c r="I98" s="20">
        <v>46092</v>
      </c>
      <c r="J98" s="13">
        <f t="shared" ca="1" si="2"/>
        <v>16</v>
      </c>
      <c r="L98" s="21">
        <v>34810</v>
      </c>
    </row>
    <row r="99" spans="1:12" x14ac:dyDescent="0.25">
      <c r="A99" s="18">
        <v>2059</v>
      </c>
      <c r="B99" s="16" t="s">
        <v>190</v>
      </c>
      <c r="C99" s="8" t="s">
        <v>20</v>
      </c>
      <c r="D99" s="8" t="s">
        <v>14</v>
      </c>
      <c r="E99" s="9" t="s">
        <v>24</v>
      </c>
      <c r="F99" s="11" t="s">
        <v>28</v>
      </c>
      <c r="G99" s="9" t="s">
        <v>29</v>
      </c>
      <c r="H99" s="8" t="s">
        <v>30</v>
      </c>
      <c r="I99" s="20">
        <v>45490</v>
      </c>
      <c r="J99" s="13">
        <f t="shared" ca="1" si="2"/>
        <v>70</v>
      </c>
      <c r="K99" s="20">
        <v>45560</v>
      </c>
      <c r="L99" s="20">
        <v>36360</v>
      </c>
    </row>
    <row r="100" spans="1:12" x14ac:dyDescent="0.25">
      <c r="A100" s="18">
        <v>2084</v>
      </c>
      <c r="B100" s="16" t="s">
        <v>191</v>
      </c>
      <c r="C100" s="8" t="s">
        <v>20</v>
      </c>
      <c r="D100" s="8" t="s">
        <v>14</v>
      </c>
      <c r="E100" s="9" t="s">
        <v>24</v>
      </c>
      <c r="F100" s="11" t="s">
        <v>25</v>
      </c>
      <c r="G100" s="9" t="s">
        <v>42</v>
      </c>
      <c r="H100" s="8" t="s">
        <v>30</v>
      </c>
      <c r="I100" s="20">
        <v>45589</v>
      </c>
      <c r="J100" s="13">
        <f t="shared" ca="1" si="2"/>
        <v>161</v>
      </c>
      <c r="K100" s="20">
        <v>45750</v>
      </c>
      <c r="L100" s="20">
        <v>38482</v>
      </c>
    </row>
    <row r="101" spans="1:12" x14ac:dyDescent="0.25">
      <c r="A101" s="18">
        <v>2090</v>
      </c>
      <c r="B101" s="16" t="s">
        <v>192</v>
      </c>
      <c r="C101" s="8" t="s">
        <v>20</v>
      </c>
      <c r="D101" s="8" t="s">
        <v>14</v>
      </c>
      <c r="E101" s="9" t="s">
        <v>24</v>
      </c>
      <c r="F101" s="11" t="s">
        <v>25</v>
      </c>
      <c r="G101" s="9" t="s">
        <v>42</v>
      </c>
      <c r="H101" s="8" t="s">
        <v>30</v>
      </c>
      <c r="I101" s="20">
        <v>45624</v>
      </c>
      <c r="J101" s="13">
        <f t="shared" ca="1" si="2"/>
        <v>18</v>
      </c>
      <c r="K101" s="20">
        <v>45642</v>
      </c>
      <c r="L101" s="20">
        <v>30516</v>
      </c>
    </row>
    <row r="102" spans="1:12" x14ac:dyDescent="0.25">
      <c r="A102" s="18">
        <v>2106</v>
      </c>
      <c r="B102" s="16" t="s">
        <v>193</v>
      </c>
      <c r="C102" s="8" t="s">
        <v>13</v>
      </c>
      <c r="D102" s="8" t="s">
        <v>14</v>
      </c>
      <c r="E102" s="9" t="s">
        <v>24</v>
      </c>
      <c r="F102" s="19" t="s">
        <v>91</v>
      </c>
      <c r="G102" s="9" t="s">
        <v>29</v>
      </c>
      <c r="H102" s="8" t="s">
        <v>71</v>
      </c>
      <c r="I102" s="20">
        <v>45701</v>
      </c>
      <c r="J102" s="13">
        <f t="shared" ca="1" si="2"/>
        <v>407</v>
      </c>
      <c r="K102" s="27"/>
      <c r="L102" s="20">
        <v>38779</v>
      </c>
    </row>
    <row r="103" spans="1:12" x14ac:dyDescent="0.25">
      <c r="A103" s="18">
        <v>2096</v>
      </c>
      <c r="B103" s="16" t="s">
        <v>194</v>
      </c>
      <c r="C103" s="8" t="s">
        <v>13</v>
      </c>
      <c r="D103" s="8" t="s">
        <v>14</v>
      </c>
      <c r="E103" s="9" t="s">
        <v>24</v>
      </c>
      <c r="F103" s="19" t="s">
        <v>83</v>
      </c>
      <c r="G103" s="9" t="s">
        <v>42</v>
      </c>
      <c r="H103" s="8" t="s">
        <v>77</v>
      </c>
      <c r="I103" s="20">
        <v>45682</v>
      </c>
      <c r="J103" s="13">
        <f t="shared" ca="1" si="2"/>
        <v>426</v>
      </c>
      <c r="K103" s="27"/>
      <c r="L103" s="27"/>
    </row>
    <row r="104" spans="1:12" x14ac:dyDescent="0.25">
      <c r="A104" s="18">
        <v>2124</v>
      </c>
      <c r="B104" s="16" t="s">
        <v>195</v>
      </c>
      <c r="C104" s="8" t="s">
        <v>13</v>
      </c>
      <c r="D104" s="8" t="s">
        <v>14</v>
      </c>
      <c r="E104" s="9" t="s">
        <v>24</v>
      </c>
      <c r="F104" s="19" t="s">
        <v>196</v>
      </c>
      <c r="G104" s="9" t="s">
        <v>42</v>
      </c>
      <c r="H104" s="11" t="s">
        <v>45</v>
      </c>
      <c r="I104" s="20">
        <v>45796</v>
      </c>
      <c r="J104" s="13">
        <f t="shared" ca="1" si="2"/>
        <v>312</v>
      </c>
      <c r="K104" s="27"/>
      <c r="L104" s="20">
        <v>33084</v>
      </c>
    </row>
    <row r="105" spans="1:12" x14ac:dyDescent="0.25">
      <c r="A105" s="18">
        <v>3060</v>
      </c>
      <c r="B105" s="16" t="s">
        <v>197</v>
      </c>
      <c r="C105" s="8" t="s">
        <v>20</v>
      </c>
      <c r="D105" s="8" t="s">
        <v>14</v>
      </c>
      <c r="E105" s="9" t="s">
        <v>15</v>
      </c>
      <c r="F105" s="19" t="s">
        <v>198</v>
      </c>
      <c r="G105" s="9" t="s">
        <v>57</v>
      </c>
      <c r="H105" s="8" t="s">
        <v>39</v>
      </c>
      <c r="I105" s="20">
        <v>45546</v>
      </c>
      <c r="J105" s="13">
        <f t="shared" ca="1" si="2"/>
        <v>301</v>
      </c>
      <c r="K105" s="20">
        <v>45847</v>
      </c>
      <c r="L105" s="20">
        <v>34775</v>
      </c>
    </row>
    <row r="106" spans="1:12" x14ac:dyDescent="0.25">
      <c r="A106" s="18">
        <v>2094</v>
      </c>
      <c r="B106" s="16" t="s">
        <v>199</v>
      </c>
      <c r="C106" s="8" t="s">
        <v>20</v>
      </c>
      <c r="D106" s="8" t="s">
        <v>14</v>
      </c>
      <c r="E106" s="9" t="s">
        <v>24</v>
      </c>
      <c r="F106" s="11" t="s">
        <v>41</v>
      </c>
      <c r="G106" s="9" t="s">
        <v>29</v>
      </c>
      <c r="H106" s="8" t="s">
        <v>30</v>
      </c>
      <c r="I106" s="20">
        <v>45539</v>
      </c>
      <c r="J106" s="13">
        <f t="shared" ca="1" si="2"/>
        <v>188</v>
      </c>
      <c r="K106" s="20">
        <v>45727</v>
      </c>
      <c r="L106" s="20">
        <v>37231</v>
      </c>
    </row>
    <row r="107" spans="1:12" x14ac:dyDescent="0.25">
      <c r="A107" s="18">
        <v>2141</v>
      </c>
      <c r="B107" s="16" t="s">
        <v>200</v>
      </c>
      <c r="C107" s="8" t="s">
        <v>13</v>
      </c>
      <c r="D107" s="8" t="s">
        <v>14</v>
      </c>
      <c r="E107" s="9" t="s">
        <v>24</v>
      </c>
      <c r="F107" s="19" t="s">
        <v>201</v>
      </c>
      <c r="G107" s="9" t="s">
        <v>68</v>
      </c>
      <c r="H107" s="11" t="s">
        <v>45</v>
      </c>
      <c r="I107" s="20">
        <v>45888</v>
      </c>
      <c r="J107" s="13">
        <f t="shared" ca="1" si="2"/>
        <v>220</v>
      </c>
      <c r="K107" s="27"/>
      <c r="L107" s="20">
        <v>38513</v>
      </c>
    </row>
    <row r="108" spans="1:12" x14ac:dyDescent="0.25">
      <c r="A108" s="18">
        <v>2080</v>
      </c>
      <c r="B108" s="16" t="s">
        <v>202</v>
      </c>
      <c r="C108" s="8" t="s">
        <v>20</v>
      </c>
      <c r="D108" s="8" t="s">
        <v>14</v>
      </c>
      <c r="E108" s="9" t="s">
        <v>24</v>
      </c>
      <c r="F108" s="11" t="s">
        <v>25</v>
      </c>
      <c r="G108" s="9" t="s">
        <v>42</v>
      </c>
      <c r="H108" s="8" t="s">
        <v>30</v>
      </c>
      <c r="I108" s="20">
        <v>45575</v>
      </c>
      <c r="J108" s="13">
        <f t="shared" ca="1" si="2"/>
        <v>89</v>
      </c>
      <c r="K108" s="20">
        <v>45664</v>
      </c>
      <c r="L108" s="20">
        <v>35065</v>
      </c>
    </row>
    <row r="109" spans="1:12" x14ac:dyDescent="0.25">
      <c r="A109" s="18">
        <v>2128</v>
      </c>
      <c r="B109" s="16" t="s">
        <v>203</v>
      </c>
      <c r="C109" s="8" t="s">
        <v>13</v>
      </c>
      <c r="D109" s="8" t="s">
        <v>14</v>
      </c>
      <c r="E109" s="9" t="s">
        <v>24</v>
      </c>
      <c r="F109" s="19" t="s">
        <v>93</v>
      </c>
      <c r="G109" s="9" t="s">
        <v>29</v>
      </c>
      <c r="H109" s="8" t="s">
        <v>71</v>
      </c>
      <c r="I109" s="20">
        <v>45821</v>
      </c>
      <c r="J109" s="13">
        <f t="shared" ca="1" si="2"/>
        <v>287</v>
      </c>
      <c r="K109" s="27"/>
      <c r="L109" s="20">
        <v>34320</v>
      </c>
    </row>
    <row r="110" spans="1:12" x14ac:dyDescent="0.25">
      <c r="A110" s="18">
        <v>3059</v>
      </c>
      <c r="B110" s="16" t="s">
        <v>204</v>
      </c>
      <c r="C110" s="8" t="s">
        <v>20</v>
      </c>
      <c r="D110" s="8" t="s">
        <v>14</v>
      </c>
      <c r="E110" s="9" t="s">
        <v>15</v>
      </c>
      <c r="F110" s="19" t="s">
        <v>205</v>
      </c>
      <c r="G110" s="9" t="s">
        <v>57</v>
      </c>
      <c r="H110" s="8" t="s">
        <v>39</v>
      </c>
      <c r="I110" s="20">
        <v>45533</v>
      </c>
      <c r="J110" s="13">
        <f t="shared" ca="1" si="2"/>
        <v>89</v>
      </c>
      <c r="K110" s="20">
        <v>45622</v>
      </c>
      <c r="L110" s="20">
        <v>36217</v>
      </c>
    </row>
    <row r="111" spans="1:12" x14ac:dyDescent="0.25">
      <c r="A111" s="18">
        <v>3078</v>
      </c>
      <c r="B111" s="16" t="s">
        <v>206</v>
      </c>
      <c r="C111" s="8" t="s">
        <v>20</v>
      </c>
      <c r="D111" s="8" t="s">
        <v>14</v>
      </c>
      <c r="E111" s="9" t="s">
        <v>15</v>
      </c>
      <c r="F111" s="19" t="s">
        <v>33</v>
      </c>
      <c r="G111" s="9" t="s">
        <v>57</v>
      </c>
      <c r="H111" s="8" t="s">
        <v>49</v>
      </c>
      <c r="I111" s="20">
        <v>45881</v>
      </c>
      <c r="J111" s="13">
        <f t="shared" ca="1" si="2"/>
        <v>56</v>
      </c>
      <c r="K111" s="20">
        <v>45937</v>
      </c>
      <c r="L111" s="20">
        <v>35891</v>
      </c>
    </row>
    <row r="112" spans="1:12" x14ac:dyDescent="0.25">
      <c r="A112" s="18">
        <v>2048</v>
      </c>
      <c r="B112" s="16" t="s">
        <v>207</v>
      </c>
      <c r="C112" s="8" t="s">
        <v>20</v>
      </c>
      <c r="D112" s="8" t="s">
        <v>14</v>
      </c>
      <c r="E112" s="9" t="s">
        <v>24</v>
      </c>
      <c r="F112" s="11" t="s">
        <v>59</v>
      </c>
      <c r="G112" s="9" t="s">
        <v>29</v>
      </c>
      <c r="H112" s="8" t="s">
        <v>30</v>
      </c>
      <c r="I112" s="20">
        <v>45435</v>
      </c>
      <c r="J112" s="13">
        <f t="shared" ca="1" si="2"/>
        <v>112</v>
      </c>
      <c r="K112" s="20">
        <v>45547</v>
      </c>
      <c r="L112" s="20">
        <v>36383</v>
      </c>
    </row>
    <row r="113" spans="1:12" x14ac:dyDescent="0.25">
      <c r="A113" s="18">
        <v>2151</v>
      </c>
      <c r="B113" s="16" t="s">
        <v>208</v>
      </c>
      <c r="C113" s="8" t="s">
        <v>13</v>
      </c>
      <c r="D113" s="8" t="s">
        <v>14</v>
      </c>
      <c r="E113" s="9" t="s">
        <v>24</v>
      </c>
      <c r="F113" s="19" t="s">
        <v>170</v>
      </c>
      <c r="G113" s="9" t="s">
        <v>29</v>
      </c>
      <c r="H113" s="8" t="s">
        <v>71</v>
      </c>
      <c r="I113" s="20">
        <v>45933</v>
      </c>
      <c r="J113" s="13">
        <f t="shared" ca="1" si="2"/>
        <v>175</v>
      </c>
      <c r="K113" s="27"/>
      <c r="L113" s="20">
        <v>36496</v>
      </c>
    </row>
    <row r="114" spans="1:12" x14ac:dyDescent="0.25">
      <c r="A114" s="18">
        <v>3055</v>
      </c>
      <c r="B114" s="16" t="s">
        <v>209</v>
      </c>
      <c r="C114" s="8" t="s">
        <v>20</v>
      </c>
      <c r="D114" s="8" t="s">
        <v>14</v>
      </c>
      <c r="E114" s="9" t="s">
        <v>15</v>
      </c>
      <c r="F114" s="19" t="s">
        <v>33</v>
      </c>
      <c r="G114" s="9" t="s">
        <v>17</v>
      </c>
      <c r="H114" s="8" t="s">
        <v>49</v>
      </c>
      <c r="I114" s="20">
        <v>45505</v>
      </c>
      <c r="J114" s="13">
        <f t="shared" ca="1" si="2"/>
        <v>169</v>
      </c>
      <c r="K114" s="20">
        <v>45674</v>
      </c>
      <c r="L114" s="20">
        <v>34805</v>
      </c>
    </row>
    <row r="115" spans="1:12" x14ac:dyDescent="0.25">
      <c r="A115" s="18">
        <v>3061</v>
      </c>
      <c r="B115" s="16" t="s">
        <v>210</v>
      </c>
      <c r="C115" s="8" t="s">
        <v>20</v>
      </c>
      <c r="D115" s="8" t="s">
        <v>14</v>
      </c>
      <c r="E115" s="9" t="s">
        <v>15</v>
      </c>
      <c r="F115" s="19" t="s">
        <v>37</v>
      </c>
      <c r="G115" s="9" t="s">
        <v>17</v>
      </c>
      <c r="H115" s="8" t="s">
        <v>45</v>
      </c>
      <c r="I115" s="20">
        <v>45589</v>
      </c>
      <c r="J115" s="13">
        <f t="shared" ca="1" si="2"/>
        <v>110</v>
      </c>
      <c r="K115" s="20">
        <v>45699</v>
      </c>
      <c r="L115" s="20">
        <v>38036</v>
      </c>
    </row>
    <row r="116" spans="1:12" x14ac:dyDescent="0.25">
      <c r="A116" s="18">
        <v>3089</v>
      </c>
      <c r="B116" s="16" t="s">
        <v>211</v>
      </c>
      <c r="C116" s="8" t="s">
        <v>13</v>
      </c>
      <c r="D116" s="8" t="s">
        <v>14</v>
      </c>
      <c r="E116" s="9" t="s">
        <v>15</v>
      </c>
      <c r="F116" s="19" t="s">
        <v>116</v>
      </c>
      <c r="G116" s="9" t="s">
        <v>17</v>
      </c>
      <c r="H116" s="8" t="s">
        <v>18</v>
      </c>
      <c r="I116" s="20">
        <v>45953</v>
      </c>
      <c r="J116" s="13">
        <f t="shared" ca="1" si="2"/>
        <v>155</v>
      </c>
      <c r="K116" s="27"/>
      <c r="L116" s="20">
        <v>34223</v>
      </c>
    </row>
    <row r="117" spans="1:12" x14ac:dyDescent="0.25">
      <c r="A117" s="18">
        <v>2166</v>
      </c>
      <c r="B117" s="16" t="s">
        <v>212</v>
      </c>
      <c r="C117" s="8" t="s">
        <v>13</v>
      </c>
      <c r="D117" s="8" t="s">
        <v>14</v>
      </c>
      <c r="E117" s="9" t="s">
        <v>24</v>
      </c>
      <c r="F117" s="19" t="s">
        <v>213</v>
      </c>
      <c r="G117" s="9" t="s">
        <v>68</v>
      </c>
      <c r="H117" s="8" t="s">
        <v>34</v>
      </c>
      <c r="I117" s="20">
        <v>46048</v>
      </c>
      <c r="J117" s="13">
        <f t="shared" ca="1" si="2"/>
        <v>60</v>
      </c>
      <c r="K117" s="27"/>
      <c r="L117" s="20">
        <v>30766</v>
      </c>
    </row>
    <row r="118" spans="1:12" x14ac:dyDescent="0.25">
      <c r="A118" s="18">
        <v>2021</v>
      </c>
      <c r="B118" s="16" t="s">
        <v>214</v>
      </c>
      <c r="C118" s="8" t="s">
        <v>20</v>
      </c>
      <c r="D118" s="8" t="s">
        <v>14</v>
      </c>
      <c r="E118" s="9" t="s">
        <v>24</v>
      </c>
      <c r="F118" s="11" t="s">
        <v>154</v>
      </c>
      <c r="G118" s="9" t="s">
        <v>29</v>
      </c>
      <c r="H118" s="8" t="s">
        <v>60</v>
      </c>
      <c r="I118" s="20">
        <v>45201</v>
      </c>
      <c r="J118" s="13">
        <f t="shared" ca="1" si="2"/>
        <v>695</v>
      </c>
      <c r="K118" s="20">
        <v>45896</v>
      </c>
      <c r="L118" s="20">
        <v>36022</v>
      </c>
    </row>
    <row r="119" spans="1:12" x14ac:dyDescent="0.25">
      <c r="A119" s="18">
        <v>2148</v>
      </c>
      <c r="B119" s="16" t="s">
        <v>215</v>
      </c>
      <c r="C119" s="8" t="s">
        <v>13</v>
      </c>
      <c r="D119" s="8" t="s">
        <v>14</v>
      </c>
      <c r="E119" s="9" t="s">
        <v>24</v>
      </c>
      <c r="F119" s="19" t="s">
        <v>25</v>
      </c>
      <c r="G119" s="9" t="s">
        <v>29</v>
      </c>
      <c r="H119" s="8" t="s">
        <v>74</v>
      </c>
      <c r="I119" s="20">
        <v>45918</v>
      </c>
      <c r="J119" s="13">
        <f t="shared" ca="1" si="2"/>
        <v>190</v>
      </c>
      <c r="K119" s="27"/>
      <c r="L119" s="20">
        <v>35566</v>
      </c>
    </row>
    <row r="120" spans="1:12" x14ac:dyDescent="0.25">
      <c r="A120" s="18">
        <v>2168</v>
      </c>
      <c r="B120" s="16" t="s">
        <v>216</v>
      </c>
      <c r="C120" s="8" t="s">
        <v>13</v>
      </c>
      <c r="D120" s="8" t="s">
        <v>14</v>
      </c>
      <c r="E120" s="9" t="s">
        <v>24</v>
      </c>
      <c r="F120" s="19" t="s">
        <v>213</v>
      </c>
      <c r="G120" s="9" t="s">
        <v>68</v>
      </c>
      <c r="H120" s="8" t="s">
        <v>34</v>
      </c>
      <c r="I120" s="20">
        <v>46049</v>
      </c>
      <c r="J120" s="13">
        <f t="shared" ca="1" si="2"/>
        <v>59</v>
      </c>
      <c r="K120" s="27"/>
      <c r="L120" s="20">
        <v>35566</v>
      </c>
    </row>
    <row r="121" spans="1:12" x14ac:dyDescent="0.25">
      <c r="A121" s="18">
        <v>2098</v>
      </c>
      <c r="B121" s="16" t="s">
        <v>217</v>
      </c>
      <c r="C121" s="8" t="s">
        <v>20</v>
      </c>
      <c r="D121" s="8" t="s">
        <v>14</v>
      </c>
      <c r="E121" s="9" t="s">
        <v>24</v>
      </c>
      <c r="F121" s="11" t="s">
        <v>28</v>
      </c>
      <c r="G121" s="9" t="s">
        <v>42</v>
      </c>
      <c r="H121" s="8" t="s">
        <v>30</v>
      </c>
      <c r="I121" s="20">
        <v>45688</v>
      </c>
      <c r="J121" s="13">
        <f t="shared" ca="1" si="2"/>
        <v>19</v>
      </c>
      <c r="K121" s="20">
        <v>45707</v>
      </c>
      <c r="L121" s="20">
        <v>37064</v>
      </c>
    </row>
    <row r="122" spans="1:12" x14ac:dyDescent="0.25">
      <c r="A122" s="18">
        <v>2037</v>
      </c>
      <c r="B122" s="16" t="s">
        <v>218</v>
      </c>
      <c r="C122" s="8" t="s">
        <v>31</v>
      </c>
      <c r="D122" s="8" t="s">
        <v>14</v>
      </c>
      <c r="E122" s="9" t="s">
        <v>24</v>
      </c>
      <c r="F122" s="19" t="s">
        <v>154</v>
      </c>
      <c r="G122" s="9" t="s">
        <v>42</v>
      </c>
      <c r="H122" s="8" t="s">
        <v>26</v>
      </c>
      <c r="I122" s="20">
        <v>45735</v>
      </c>
      <c r="J122" s="13">
        <f t="shared" ca="1" si="2"/>
        <v>155</v>
      </c>
      <c r="K122" s="20">
        <v>45890</v>
      </c>
      <c r="L122" s="20">
        <v>36374</v>
      </c>
    </row>
    <row r="123" spans="1:12" x14ac:dyDescent="0.25">
      <c r="A123" s="18">
        <v>136</v>
      </c>
      <c r="B123" s="16" t="s">
        <v>219</v>
      </c>
      <c r="C123" s="8" t="s">
        <v>20</v>
      </c>
      <c r="D123" s="8" t="s">
        <v>14</v>
      </c>
      <c r="E123" s="9" t="s">
        <v>24</v>
      </c>
      <c r="F123" s="11" t="s">
        <v>154</v>
      </c>
      <c r="G123" s="9" t="s">
        <v>42</v>
      </c>
      <c r="H123" s="8" t="s">
        <v>26</v>
      </c>
      <c r="I123" s="20">
        <v>45735</v>
      </c>
      <c r="J123" s="13">
        <f t="shared" ca="1" si="2"/>
        <v>155</v>
      </c>
      <c r="K123" s="20">
        <v>45890</v>
      </c>
      <c r="L123" s="20">
        <v>36734</v>
      </c>
    </row>
    <row r="124" spans="1:12" x14ac:dyDescent="0.25">
      <c r="A124" s="18">
        <v>2165</v>
      </c>
      <c r="B124" s="16" t="s">
        <v>220</v>
      </c>
      <c r="C124" s="8" t="s">
        <v>13</v>
      </c>
      <c r="D124" s="8" t="s">
        <v>14</v>
      </c>
      <c r="E124" s="9" t="s">
        <v>24</v>
      </c>
      <c r="F124" s="19" t="s">
        <v>221</v>
      </c>
      <c r="G124" s="9" t="s">
        <v>42</v>
      </c>
      <c r="H124" s="8" t="s">
        <v>74</v>
      </c>
      <c r="I124" s="20">
        <v>46007</v>
      </c>
      <c r="J124" s="13">
        <f t="shared" ca="1" si="2"/>
        <v>101</v>
      </c>
      <c r="K124" s="27"/>
      <c r="L124" s="20">
        <v>37771</v>
      </c>
    </row>
    <row r="125" spans="1:12" x14ac:dyDescent="0.25">
      <c r="A125" s="18">
        <v>2164</v>
      </c>
      <c r="B125" s="16" t="s">
        <v>222</v>
      </c>
      <c r="C125" s="8" t="s">
        <v>13</v>
      </c>
      <c r="D125" s="8" t="s">
        <v>14</v>
      </c>
      <c r="E125" s="9" t="s">
        <v>24</v>
      </c>
      <c r="F125" s="19" t="s">
        <v>223</v>
      </c>
      <c r="G125" s="9" t="s">
        <v>175</v>
      </c>
      <c r="H125" s="8" t="s">
        <v>86</v>
      </c>
      <c r="I125" s="20">
        <v>46006</v>
      </c>
      <c r="J125" s="13">
        <f t="shared" ca="1" si="2"/>
        <v>102</v>
      </c>
      <c r="K125" s="27"/>
      <c r="L125" s="20">
        <v>36000</v>
      </c>
    </row>
    <row r="126" spans="1:12" x14ac:dyDescent="0.25">
      <c r="A126" s="18">
        <v>2120</v>
      </c>
      <c r="B126" s="16" t="s">
        <v>224</v>
      </c>
      <c r="C126" s="8" t="s">
        <v>20</v>
      </c>
      <c r="D126" s="8" t="s">
        <v>14</v>
      </c>
      <c r="E126" s="9" t="s">
        <v>24</v>
      </c>
      <c r="F126" s="11" t="s">
        <v>28</v>
      </c>
      <c r="G126" s="9" t="s">
        <v>42</v>
      </c>
      <c r="H126" s="8" t="s">
        <v>26</v>
      </c>
      <c r="I126" s="20">
        <v>45771</v>
      </c>
      <c r="J126" s="13">
        <f t="shared" ca="1" si="2"/>
        <v>168</v>
      </c>
      <c r="K126" s="20">
        <v>45939</v>
      </c>
      <c r="L126" s="20">
        <v>38317</v>
      </c>
    </row>
    <row r="127" spans="1:12" x14ac:dyDescent="0.25">
      <c r="A127" s="18">
        <v>2071</v>
      </c>
      <c r="B127" s="16" t="s">
        <v>225</v>
      </c>
      <c r="C127" s="8" t="s">
        <v>20</v>
      </c>
      <c r="D127" s="8" t="s">
        <v>14</v>
      </c>
      <c r="E127" s="9" t="s">
        <v>24</v>
      </c>
      <c r="F127" s="11" t="s">
        <v>25</v>
      </c>
      <c r="G127" s="9" t="s">
        <v>29</v>
      </c>
      <c r="H127" s="8" t="s">
        <v>30</v>
      </c>
      <c r="I127" s="20">
        <v>45539</v>
      </c>
      <c r="J127" s="13">
        <f t="shared" ca="1" si="2"/>
        <v>58</v>
      </c>
      <c r="K127" s="20">
        <v>45597</v>
      </c>
      <c r="L127" s="20">
        <v>36458</v>
      </c>
    </row>
    <row r="128" spans="1:12" x14ac:dyDescent="0.25">
      <c r="A128" s="18">
        <v>2101</v>
      </c>
      <c r="B128" s="16" t="s">
        <v>226</v>
      </c>
      <c r="C128" s="8" t="s">
        <v>20</v>
      </c>
      <c r="D128" s="8" t="s">
        <v>14</v>
      </c>
      <c r="E128" s="9" t="s">
        <v>24</v>
      </c>
      <c r="F128" s="11" t="s">
        <v>47</v>
      </c>
      <c r="G128" s="9" t="s">
        <v>68</v>
      </c>
      <c r="H128" s="8" t="s">
        <v>34</v>
      </c>
      <c r="I128" s="20">
        <v>45693</v>
      </c>
      <c r="J128" s="13">
        <f t="shared" ca="1" si="2"/>
        <v>415</v>
      </c>
      <c r="K128" s="27"/>
      <c r="L128" s="20">
        <v>35131</v>
      </c>
    </row>
    <row r="129" spans="1:12" x14ac:dyDescent="0.25">
      <c r="A129" s="18">
        <v>3058</v>
      </c>
      <c r="B129" s="16" t="s">
        <v>227</v>
      </c>
      <c r="C129" s="8" t="s">
        <v>20</v>
      </c>
      <c r="D129" s="8" t="s">
        <v>14</v>
      </c>
      <c r="E129" s="9" t="s">
        <v>15</v>
      </c>
      <c r="F129" s="19" t="s">
        <v>228</v>
      </c>
      <c r="G129" s="9" t="s">
        <v>57</v>
      </c>
      <c r="H129" s="8" t="s">
        <v>39</v>
      </c>
      <c r="I129" s="20">
        <v>45533</v>
      </c>
      <c r="J129" s="13">
        <f t="shared" ca="1" si="2"/>
        <v>32</v>
      </c>
      <c r="K129" s="20">
        <v>45565</v>
      </c>
      <c r="L129" s="20">
        <v>35589</v>
      </c>
    </row>
    <row r="130" spans="1:12" x14ac:dyDescent="0.25">
      <c r="A130" s="18">
        <v>2115</v>
      </c>
      <c r="B130" s="16" t="s">
        <v>229</v>
      </c>
      <c r="C130" s="8" t="s">
        <v>20</v>
      </c>
      <c r="D130" s="8" t="s">
        <v>14</v>
      </c>
      <c r="E130" s="9" t="s">
        <v>24</v>
      </c>
      <c r="F130" s="19" t="s">
        <v>170</v>
      </c>
      <c r="G130" s="9" t="s">
        <v>42</v>
      </c>
      <c r="H130" s="8" t="s">
        <v>26</v>
      </c>
      <c r="I130" s="20">
        <v>45723</v>
      </c>
      <c r="J130" s="13">
        <f t="shared" ca="1" si="2"/>
        <v>385</v>
      </c>
      <c r="K130" s="27"/>
      <c r="L130" s="20">
        <v>38496</v>
      </c>
    </row>
    <row r="131" spans="1:12" x14ac:dyDescent="0.25">
      <c r="A131" s="18">
        <v>2070</v>
      </c>
      <c r="B131" s="16" t="s">
        <v>230</v>
      </c>
      <c r="C131" s="8" t="s">
        <v>20</v>
      </c>
      <c r="D131" s="8" t="s">
        <v>14</v>
      </c>
      <c r="E131" s="9" t="s">
        <v>24</v>
      </c>
      <c r="F131" s="11" t="s">
        <v>25</v>
      </c>
      <c r="G131" s="9" t="s">
        <v>29</v>
      </c>
      <c r="H131" s="8" t="s">
        <v>30</v>
      </c>
      <c r="I131" s="20">
        <v>45540</v>
      </c>
      <c r="J131" s="13">
        <f t="shared" ca="1" si="2"/>
        <v>43</v>
      </c>
      <c r="K131" s="20">
        <v>45583</v>
      </c>
      <c r="L131" s="20">
        <v>29666</v>
      </c>
    </row>
    <row r="132" spans="1:12" x14ac:dyDescent="0.25">
      <c r="A132" s="18">
        <v>2145</v>
      </c>
      <c r="B132" s="16" t="s">
        <v>231</v>
      </c>
      <c r="C132" s="8" t="s">
        <v>20</v>
      </c>
      <c r="D132" s="8" t="s">
        <v>14</v>
      </c>
      <c r="E132" s="9" t="s">
        <v>24</v>
      </c>
      <c r="F132" s="11" t="s">
        <v>137</v>
      </c>
      <c r="G132" s="9" t="s">
        <v>17</v>
      </c>
      <c r="H132" s="8" t="s">
        <v>45</v>
      </c>
      <c r="I132" s="20">
        <v>45910</v>
      </c>
      <c r="J132" s="13">
        <f t="shared" ca="1" si="2"/>
        <v>198</v>
      </c>
      <c r="K132" s="27"/>
      <c r="L132" s="20">
        <v>25454</v>
      </c>
    </row>
    <row r="133" spans="1:12" x14ac:dyDescent="0.25">
      <c r="A133" s="18">
        <v>2074</v>
      </c>
      <c r="B133" s="16" t="s">
        <v>232</v>
      </c>
      <c r="C133" s="8" t="s">
        <v>20</v>
      </c>
      <c r="D133" s="8" t="s">
        <v>14</v>
      </c>
      <c r="E133" s="9" t="s">
        <v>24</v>
      </c>
      <c r="F133" s="11" t="s">
        <v>170</v>
      </c>
      <c r="G133" s="9" t="s">
        <v>29</v>
      </c>
      <c r="H133" s="8" t="s">
        <v>62</v>
      </c>
      <c r="I133" s="20">
        <v>45554</v>
      </c>
      <c r="J133" s="13">
        <f t="shared" ca="1" si="2"/>
        <v>326</v>
      </c>
      <c r="K133" s="20">
        <v>45880</v>
      </c>
      <c r="L133" s="20">
        <v>38841</v>
      </c>
    </row>
    <row r="134" spans="1:12" x14ac:dyDescent="0.25">
      <c r="A134" s="18">
        <v>2063</v>
      </c>
      <c r="B134" s="16" t="s">
        <v>233</v>
      </c>
      <c r="C134" s="8" t="s">
        <v>20</v>
      </c>
      <c r="D134" s="8" t="s">
        <v>14</v>
      </c>
      <c r="E134" s="9" t="s">
        <v>24</v>
      </c>
      <c r="F134" s="11" t="s">
        <v>28</v>
      </c>
      <c r="G134" s="9" t="s">
        <v>29</v>
      </c>
      <c r="H134" s="8" t="s">
        <v>30</v>
      </c>
      <c r="I134" s="20">
        <v>45503</v>
      </c>
      <c r="J134" s="13">
        <f t="shared" ca="1" si="2"/>
        <v>72</v>
      </c>
      <c r="K134" s="20">
        <v>45575</v>
      </c>
      <c r="L134" s="20">
        <v>35538</v>
      </c>
    </row>
    <row r="135" spans="1:12" x14ac:dyDescent="0.25">
      <c r="A135" s="18">
        <v>3079</v>
      </c>
      <c r="B135" s="16" t="s">
        <v>234</v>
      </c>
      <c r="C135" s="8" t="s">
        <v>20</v>
      </c>
      <c r="D135" s="8" t="s">
        <v>14</v>
      </c>
      <c r="E135" s="9" t="s">
        <v>15</v>
      </c>
      <c r="F135" s="19" t="s">
        <v>123</v>
      </c>
      <c r="G135" s="9" t="s">
        <v>57</v>
      </c>
      <c r="H135" s="8" t="s">
        <v>39</v>
      </c>
      <c r="I135" s="20">
        <v>45887</v>
      </c>
      <c r="J135" s="13">
        <f t="shared" ca="1" si="2"/>
        <v>44</v>
      </c>
      <c r="K135" s="20">
        <v>45931</v>
      </c>
      <c r="L135" s="20">
        <v>36867</v>
      </c>
    </row>
    <row r="136" spans="1:12" x14ac:dyDescent="0.25">
      <c r="A136" s="18">
        <v>2136</v>
      </c>
      <c r="B136" s="16" t="s">
        <v>235</v>
      </c>
      <c r="C136" s="8" t="s">
        <v>20</v>
      </c>
      <c r="D136" s="8" t="s">
        <v>14</v>
      </c>
      <c r="E136" s="9" t="s">
        <v>24</v>
      </c>
      <c r="F136" s="11" t="s">
        <v>33</v>
      </c>
      <c r="G136" s="9" t="s">
        <v>68</v>
      </c>
      <c r="H136" s="8" t="s">
        <v>34</v>
      </c>
      <c r="I136" s="20">
        <v>45878</v>
      </c>
      <c r="J136" s="13">
        <f t="shared" ca="1" si="2"/>
        <v>51</v>
      </c>
      <c r="K136" s="20">
        <v>45929</v>
      </c>
      <c r="L136" s="20">
        <v>35358</v>
      </c>
    </row>
    <row r="137" spans="1:12" x14ac:dyDescent="0.25">
      <c r="A137" s="18">
        <v>2062</v>
      </c>
      <c r="B137" s="16" t="s">
        <v>236</v>
      </c>
      <c r="C137" s="8" t="s">
        <v>20</v>
      </c>
      <c r="D137" s="8" t="s">
        <v>14</v>
      </c>
      <c r="E137" s="9" t="s">
        <v>24</v>
      </c>
      <c r="F137" s="11" t="s">
        <v>237</v>
      </c>
      <c r="G137" s="9" t="s">
        <v>17</v>
      </c>
      <c r="H137" s="8" t="s">
        <v>45</v>
      </c>
      <c r="I137" s="20">
        <v>45497</v>
      </c>
      <c r="J137" s="13">
        <f t="shared" ca="1" si="2"/>
        <v>422</v>
      </c>
      <c r="K137" s="20">
        <v>45919</v>
      </c>
      <c r="L137" s="20">
        <v>38128</v>
      </c>
    </row>
    <row r="138" spans="1:12" x14ac:dyDescent="0.25">
      <c r="A138" s="18">
        <v>2099</v>
      </c>
      <c r="B138" s="16" t="s">
        <v>238</v>
      </c>
      <c r="C138" s="8" t="s">
        <v>13</v>
      </c>
      <c r="D138" s="8" t="s">
        <v>14</v>
      </c>
      <c r="E138" s="9" t="s">
        <v>24</v>
      </c>
      <c r="F138" s="19" t="s">
        <v>93</v>
      </c>
      <c r="G138" s="9" t="s">
        <v>42</v>
      </c>
      <c r="H138" s="8" t="s">
        <v>77</v>
      </c>
      <c r="I138" s="20">
        <v>45687</v>
      </c>
      <c r="J138" s="22">
        <f ca="1">TODAY()-I138</f>
        <v>421</v>
      </c>
      <c r="K138" s="27"/>
      <c r="L138" s="20">
        <v>34024</v>
      </c>
    </row>
    <row r="139" spans="1:12" x14ac:dyDescent="0.25">
      <c r="A139" s="18">
        <v>3065</v>
      </c>
      <c r="B139" s="16" t="s">
        <v>239</v>
      </c>
      <c r="C139" s="8" t="s">
        <v>20</v>
      </c>
      <c r="D139" s="8" t="s">
        <v>14</v>
      </c>
      <c r="E139" s="9" t="s">
        <v>15</v>
      </c>
      <c r="F139" s="19" t="s">
        <v>25</v>
      </c>
      <c r="G139" s="9" t="s">
        <v>164</v>
      </c>
      <c r="H139" s="8" t="s">
        <v>49</v>
      </c>
      <c r="I139" s="20">
        <v>45679</v>
      </c>
      <c r="J139" s="13">
        <f t="shared" ref="J139:J157" ca="1" si="3">IF(K139&lt;&gt;"",K139-I139,TODAY()-I139)</f>
        <v>128</v>
      </c>
      <c r="K139" s="20">
        <v>45807</v>
      </c>
      <c r="L139" s="20">
        <v>37981</v>
      </c>
    </row>
    <row r="140" spans="1:12" x14ac:dyDescent="0.25">
      <c r="A140" s="18">
        <v>2012</v>
      </c>
      <c r="B140" s="16" t="s">
        <v>240</v>
      </c>
      <c r="C140" s="8" t="s">
        <v>20</v>
      </c>
      <c r="D140" s="8" t="s">
        <v>14</v>
      </c>
      <c r="E140" s="9" t="s">
        <v>24</v>
      </c>
      <c r="F140" s="11" t="s">
        <v>47</v>
      </c>
      <c r="G140" s="9" t="s">
        <v>29</v>
      </c>
      <c r="H140" s="8" t="s">
        <v>62</v>
      </c>
      <c r="I140" s="20">
        <v>45173</v>
      </c>
      <c r="J140" s="13">
        <f t="shared" ca="1" si="3"/>
        <v>935</v>
      </c>
      <c r="K140" s="27"/>
      <c r="L140" s="20">
        <v>36098</v>
      </c>
    </row>
    <row r="141" spans="1:12" x14ac:dyDescent="0.25">
      <c r="A141" s="18">
        <v>2068</v>
      </c>
      <c r="B141" s="16" t="s">
        <v>241</v>
      </c>
      <c r="C141" s="8" t="s">
        <v>20</v>
      </c>
      <c r="D141" s="8" t="s">
        <v>14</v>
      </c>
      <c r="E141" s="9" t="s">
        <v>24</v>
      </c>
      <c r="F141" s="11" t="s">
        <v>242</v>
      </c>
      <c r="G141" s="9" t="s">
        <v>29</v>
      </c>
      <c r="H141" s="8" t="s">
        <v>30</v>
      </c>
      <c r="I141" s="20">
        <v>45533</v>
      </c>
      <c r="J141" s="13">
        <f t="shared" ca="1" si="3"/>
        <v>89</v>
      </c>
      <c r="K141" s="20">
        <v>45622</v>
      </c>
      <c r="L141" s="20">
        <v>32740</v>
      </c>
    </row>
    <row r="142" spans="1:12" x14ac:dyDescent="0.25">
      <c r="A142" s="25"/>
      <c r="B142" s="16" t="s">
        <v>243</v>
      </c>
      <c r="C142" s="8" t="s">
        <v>20</v>
      </c>
      <c r="D142" s="8" t="s">
        <v>14</v>
      </c>
      <c r="E142" s="9" t="s">
        <v>24</v>
      </c>
      <c r="F142" s="11" t="s">
        <v>25</v>
      </c>
      <c r="G142" s="9" t="s">
        <v>42</v>
      </c>
      <c r="H142" s="8" t="s">
        <v>30</v>
      </c>
      <c r="I142" s="20">
        <v>45573</v>
      </c>
      <c r="J142" s="13">
        <f t="shared" ca="1" si="3"/>
        <v>42</v>
      </c>
      <c r="K142" s="20">
        <v>45615</v>
      </c>
      <c r="L142" s="20">
        <v>33051</v>
      </c>
    </row>
    <row r="143" spans="1:12" x14ac:dyDescent="0.25">
      <c r="A143" s="18">
        <v>2140</v>
      </c>
      <c r="B143" s="16" t="s">
        <v>244</v>
      </c>
      <c r="C143" s="8" t="s">
        <v>20</v>
      </c>
      <c r="D143" s="8" t="s">
        <v>14</v>
      </c>
      <c r="E143" s="9" t="s">
        <v>24</v>
      </c>
      <c r="F143" s="11" t="s">
        <v>111</v>
      </c>
      <c r="G143" s="9" t="s">
        <v>29</v>
      </c>
      <c r="H143" s="8" t="s">
        <v>62</v>
      </c>
      <c r="I143" s="20">
        <v>45884</v>
      </c>
      <c r="J143" s="13">
        <f t="shared" ca="1" si="3"/>
        <v>28</v>
      </c>
      <c r="K143" s="20">
        <v>45912</v>
      </c>
      <c r="L143" s="20">
        <v>34654</v>
      </c>
    </row>
    <row r="144" spans="1:12" x14ac:dyDescent="0.25">
      <c r="A144" s="18">
        <v>3081</v>
      </c>
      <c r="B144" s="16" t="s">
        <v>245</v>
      </c>
      <c r="C144" s="8" t="s">
        <v>20</v>
      </c>
      <c r="D144" s="8" t="s">
        <v>14</v>
      </c>
      <c r="E144" s="9" t="s">
        <v>15</v>
      </c>
      <c r="F144" s="19" t="s">
        <v>111</v>
      </c>
      <c r="G144" s="9" t="s">
        <v>57</v>
      </c>
      <c r="H144" s="8" t="s">
        <v>39</v>
      </c>
      <c r="I144" s="20">
        <v>45895</v>
      </c>
      <c r="J144" s="13">
        <f t="shared" ca="1" si="3"/>
        <v>44</v>
      </c>
      <c r="K144" s="20">
        <v>45939</v>
      </c>
      <c r="L144" s="20">
        <v>34656</v>
      </c>
    </row>
    <row r="145" spans="1:12" x14ac:dyDescent="0.25">
      <c r="A145" s="18">
        <v>2020</v>
      </c>
      <c r="B145" s="16" t="s">
        <v>246</v>
      </c>
      <c r="C145" s="8" t="s">
        <v>13</v>
      </c>
      <c r="D145" s="8" t="s">
        <v>14</v>
      </c>
      <c r="E145" s="9" t="s">
        <v>24</v>
      </c>
      <c r="F145" s="11" t="s">
        <v>247</v>
      </c>
      <c r="G145" s="9" t="s">
        <v>29</v>
      </c>
      <c r="H145" s="11" t="s">
        <v>45</v>
      </c>
      <c r="I145" s="20">
        <v>45201</v>
      </c>
      <c r="J145" s="13">
        <f t="shared" ca="1" si="3"/>
        <v>907</v>
      </c>
      <c r="K145" s="27"/>
      <c r="L145" s="20">
        <v>35249</v>
      </c>
    </row>
    <row r="146" spans="1:12" x14ac:dyDescent="0.25">
      <c r="A146" s="18">
        <v>2003</v>
      </c>
      <c r="B146" s="16" t="s">
        <v>248</v>
      </c>
      <c r="C146" s="8" t="s">
        <v>20</v>
      </c>
      <c r="D146" s="8" t="s">
        <v>14</v>
      </c>
      <c r="E146" s="9" t="s">
        <v>24</v>
      </c>
      <c r="F146" s="11" t="s">
        <v>249</v>
      </c>
      <c r="G146" s="9" t="s">
        <v>42</v>
      </c>
      <c r="H146" s="8" t="s">
        <v>30</v>
      </c>
      <c r="I146" s="20">
        <v>45019</v>
      </c>
      <c r="J146" s="13">
        <f t="shared" ca="1" si="3"/>
        <v>641</v>
      </c>
      <c r="K146" s="20">
        <v>45660</v>
      </c>
      <c r="L146" s="20">
        <v>28913</v>
      </c>
    </row>
    <row r="147" spans="1:12" x14ac:dyDescent="0.25">
      <c r="A147" s="18">
        <v>2171</v>
      </c>
      <c r="B147" s="16" t="s">
        <v>250</v>
      </c>
      <c r="C147" s="8" t="s">
        <v>13</v>
      </c>
      <c r="D147" s="8" t="s">
        <v>14</v>
      </c>
      <c r="E147" s="9" t="s">
        <v>24</v>
      </c>
      <c r="F147" s="19" t="s">
        <v>25</v>
      </c>
      <c r="G147" s="9" t="s">
        <v>29</v>
      </c>
      <c r="H147" s="8" t="s">
        <v>74</v>
      </c>
      <c r="I147" s="20">
        <v>46093</v>
      </c>
      <c r="J147" s="13">
        <f t="shared" ca="1" si="3"/>
        <v>15</v>
      </c>
      <c r="L147" s="21">
        <v>37604</v>
      </c>
    </row>
    <row r="148" spans="1:12" x14ac:dyDescent="0.25">
      <c r="A148" s="18">
        <v>3053</v>
      </c>
      <c r="B148" s="16" t="s">
        <v>251</v>
      </c>
      <c r="C148" s="8" t="s">
        <v>20</v>
      </c>
      <c r="D148" s="8" t="s">
        <v>14</v>
      </c>
      <c r="E148" s="9" t="s">
        <v>15</v>
      </c>
      <c r="F148" s="19" t="s">
        <v>249</v>
      </c>
      <c r="G148" s="9" t="s">
        <v>17</v>
      </c>
      <c r="H148" s="8" t="s">
        <v>49</v>
      </c>
      <c r="I148" s="20">
        <v>45461</v>
      </c>
      <c r="J148" s="13">
        <f t="shared" ca="1" si="3"/>
        <v>479</v>
      </c>
      <c r="K148" s="20">
        <v>45940</v>
      </c>
      <c r="L148" s="20">
        <v>24566</v>
      </c>
    </row>
    <row r="149" spans="1:12" x14ac:dyDescent="0.25">
      <c r="A149" s="18">
        <v>2139</v>
      </c>
      <c r="B149" s="16" t="s">
        <v>252</v>
      </c>
      <c r="C149" s="8" t="s">
        <v>13</v>
      </c>
      <c r="D149" s="8" t="s">
        <v>14</v>
      </c>
      <c r="E149" s="9" t="s">
        <v>24</v>
      </c>
      <c r="F149" s="19" t="s">
        <v>83</v>
      </c>
      <c r="G149" s="9" t="s">
        <v>29</v>
      </c>
      <c r="H149" s="8" t="s">
        <v>71</v>
      </c>
      <c r="I149" s="20">
        <v>45885</v>
      </c>
      <c r="J149" s="13">
        <f t="shared" ca="1" si="3"/>
        <v>223</v>
      </c>
      <c r="K149" s="27"/>
      <c r="L149" s="20">
        <v>33641</v>
      </c>
    </row>
    <row r="150" spans="1:12" x14ac:dyDescent="0.25">
      <c r="A150" s="18">
        <v>2144</v>
      </c>
      <c r="B150" s="16" t="s">
        <v>253</v>
      </c>
      <c r="C150" s="8" t="s">
        <v>13</v>
      </c>
      <c r="D150" s="8" t="s">
        <v>14</v>
      </c>
      <c r="E150" s="9" t="s">
        <v>24</v>
      </c>
      <c r="F150" s="19" t="s">
        <v>93</v>
      </c>
      <c r="G150" s="9" t="s">
        <v>42</v>
      </c>
      <c r="H150" s="8" t="s">
        <v>77</v>
      </c>
      <c r="I150" s="20">
        <v>45904</v>
      </c>
      <c r="J150" s="13">
        <f t="shared" ca="1" si="3"/>
        <v>204</v>
      </c>
      <c r="K150" s="27"/>
      <c r="L150" s="20">
        <v>37916</v>
      </c>
    </row>
    <row r="151" spans="1:12" x14ac:dyDescent="0.25">
      <c r="A151" s="18">
        <v>2122</v>
      </c>
      <c r="B151" s="16" t="s">
        <v>254</v>
      </c>
      <c r="C151" s="8" t="s">
        <v>20</v>
      </c>
      <c r="D151" s="8" t="s">
        <v>14</v>
      </c>
      <c r="E151" s="9" t="s">
        <v>24</v>
      </c>
      <c r="F151" s="11" t="s">
        <v>33</v>
      </c>
      <c r="G151" s="9" t="s">
        <v>29</v>
      </c>
      <c r="H151" s="8" t="s">
        <v>60</v>
      </c>
      <c r="I151" s="20">
        <v>45783</v>
      </c>
      <c r="J151" s="13">
        <f t="shared" ca="1" si="3"/>
        <v>89</v>
      </c>
      <c r="K151" s="20">
        <v>45872</v>
      </c>
      <c r="L151" s="20">
        <v>30587</v>
      </c>
    </row>
    <row r="152" spans="1:12" x14ac:dyDescent="0.25">
      <c r="A152" s="18">
        <v>2076</v>
      </c>
      <c r="B152" s="16" t="s">
        <v>255</v>
      </c>
      <c r="C152" s="8" t="s">
        <v>20</v>
      </c>
      <c r="D152" s="8" t="s">
        <v>14</v>
      </c>
      <c r="E152" s="9" t="s">
        <v>24</v>
      </c>
      <c r="F152" s="11" t="s">
        <v>146</v>
      </c>
      <c r="G152" s="9" t="s">
        <v>51</v>
      </c>
      <c r="H152" s="8" t="s">
        <v>69</v>
      </c>
      <c r="I152" s="20">
        <v>45558</v>
      </c>
      <c r="J152" s="13">
        <f t="shared" ca="1" si="3"/>
        <v>13</v>
      </c>
      <c r="K152" s="20">
        <v>45571</v>
      </c>
      <c r="L152" s="20">
        <v>37660</v>
      </c>
    </row>
    <row r="153" spans="1:12" x14ac:dyDescent="0.25">
      <c r="A153" s="18">
        <v>2077</v>
      </c>
      <c r="B153" s="16" t="s">
        <v>256</v>
      </c>
      <c r="C153" s="8" t="s">
        <v>20</v>
      </c>
      <c r="D153" s="8" t="s">
        <v>14</v>
      </c>
      <c r="E153" s="9" t="s">
        <v>24</v>
      </c>
      <c r="F153" s="11" t="s">
        <v>257</v>
      </c>
      <c r="G153" s="9" t="s">
        <v>17</v>
      </c>
      <c r="H153" s="8" t="s">
        <v>45</v>
      </c>
      <c r="I153" s="20">
        <v>45558</v>
      </c>
      <c r="J153" s="13">
        <f t="shared" ca="1" si="3"/>
        <v>550</v>
      </c>
      <c r="K153" s="27"/>
      <c r="L153" s="20">
        <v>26481</v>
      </c>
    </row>
    <row r="154" spans="1:12" x14ac:dyDescent="0.25">
      <c r="A154" s="18">
        <v>2009</v>
      </c>
      <c r="B154" s="16" t="s">
        <v>258</v>
      </c>
      <c r="C154" s="8" t="s">
        <v>20</v>
      </c>
      <c r="D154" s="8" t="s">
        <v>14</v>
      </c>
      <c r="E154" s="9" t="s">
        <v>24</v>
      </c>
      <c r="F154" s="11" t="s">
        <v>33</v>
      </c>
      <c r="G154" s="9" t="s">
        <v>42</v>
      </c>
      <c r="H154" s="8" t="s">
        <v>45</v>
      </c>
      <c r="I154" s="20">
        <v>44929</v>
      </c>
      <c r="J154" s="13">
        <f t="shared" ca="1" si="3"/>
        <v>1004</v>
      </c>
      <c r="K154" s="20">
        <v>45933</v>
      </c>
      <c r="L154" s="20">
        <v>38656</v>
      </c>
    </row>
    <row r="155" spans="1:12" x14ac:dyDescent="0.25">
      <c r="A155" s="18">
        <v>3057</v>
      </c>
      <c r="B155" s="16" t="s">
        <v>259</v>
      </c>
      <c r="C155" s="8" t="s">
        <v>20</v>
      </c>
      <c r="D155" s="8" t="s">
        <v>14</v>
      </c>
      <c r="E155" s="9" t="s">
        <v>15</v>
      </c>
      <c r="F155" s="19" t="s">
        <v>205</v>
      </c>
      <c r="G155" s="9" t="s">
        <v>57</v>
      </c>
      <c r="H155" s="8" t="s">
        <v>39</v>
      </c>
      <c r="I155" s="20">
        <v>45516</v>
      </c>
      <c r="J155" s="13">
        <f t="shared" ca="1" si="3"/>
        <v>86</v>
      </c>
      <c r="K155" s="20">
        <v>45602</v>
      </c>
      <c r="L155" s="20">
        <v>33606</v>
      </c>
    </row>
    <row r="156" spans="1:12" x14ac:dyDescent="0.25">
      <c r="A156" s="18">
        <v>2058</v>
      </c>
      <c r="B156" s="16" t="s">
        <v>260</v>
      </c>
      <c r="C156" s="8" t="s">
        <v>13</v>
      </c>
      <c r="D156" s="8" t="s">
        <v>14</v>
      </c>
      <c r="E156" s="9" t="s">
        <v>24</v>
      </c>
      <c r="F156" s="19" t="s">
        <v>123</v>
      </c>
      <c r="G156" s="9" t="s">
        <v>51</v>
      </c>
      <c r="H156" s="8" t="s">
        <v>45</v>
      </c>
      <c r="I156" s="20">
        <v>45490</v>
      </c>
      <c r="J156" s="13">
        <f t="shared" ca="1" si="3"/>
        <v>618</v>
      </c>
      <c r="K156" s="27"/>
      <c r="L156" s="20">
        <v>34988</v>
      </c>
    </row>
    <row r="157" spans="1:12" x14ac:dyDescent="0.25">
      <c r="A157" s="18">
        <v>3071</v>
      </c>
      <c r="B157" s="16" t="s">
        <v>261</v>
      </c>
      <c r="C157" s="8" t="s">
        <v>20</v>
      </c>
      <c r="D157" s="8" t="s">
        <v>14</v>
      </c>
      <c r="E157" s="9" t="s">
        <v>15</v>
      </c>
      <c r="F157" s="19" t="s">
        <v>262</v>
      </c>
      <c r="G157" s="9" t="s">
        <v>178</v>
      </c>
      <c r="H157" s="8" t="s">
        <v>39</v>
      </c>
      <c r="I157" s="20">
        <v>45786</v>
      </c>
      <c r="J157" s="22">
        <f t="shared" ca="1" si="3"/>
        <v>84</v>
      </c>
      <c r="K157" s="20">
        <v>45870</v>
      </c>
      <c r="L157" s="20">
        <v>36613</v>
      </c>
    </row>
    <row r="158" spans="1:12" s="15" customFormat="1" x14ac:dyDescent="0.25">
      <c r="A158" s="25"/>
      <c r="B158" s="16" t="s">
        <v>263</v>
      </c>
      <c r="C158" s="8" t="s">
        <v>20</v>
      </c>
      <c r="D158" s="8" t="s">
        <v>14</v>
      </c>
      <c r="E158" s="9" t="s">
        <v>24</v>
      </c>
      <c r="F158" s="11" t="s">
        <v>85</v>
      </c>
      <c r="G158" s="9" t="s">
        <v>51</v>
      </c>
      <c r="H158" s="8" t="s">
        <v>45</v>
      </c>
      <c r="I158" s="27"/>
      <c r="J158" s="34"/>
      <c r="K158" s="20">
        <v>45553</v>
      </c>
      <c r="L158" s="20">
        <v>33323</v>
      </c>
    </row>
    <row r="159" spans="1:12" s="15" customFormat="1" x14ac:dyDescent="0.25">
      <c r="A159" s="18">
        <v>2142</v>
      </c>
      <c r="B159" s="16" t="s">
        <v>264</v>
      </c>
      <c r="C159" s="8" t="s">
        <v>20</v>
      </c>
      <c r="D159" s="8" t="s">
        <v>14</v>
      </c>
      <c r="E159" s="9" t="s">
        <v>24</v>
      </c>
      <c r="F159" s="11" t="s">
        <v>116</v>
      </c>
      <c r="G159" s="9" t="s">
        <v>17</v>
      </c>
      <c r="H159" s="8" t="s">
        <v>45</v>
      </c>
      <c r="I159" s="20">
        <v>45896</v>
      </c>
      <c r="J159" s="13">
        <f t="shared" ref="J159:J165" ca="1" si="4">IF(K159&lt;&gt;"",K159-I159,TODAY()-I159)</f>
        <v>44</v>
      </c>
      <c r="K159" s="20">
        <v>45940</v>
      </c>
      <c r="L159" s="20">
        <v>31259</v>
      </c>
    </row>
    <row r="160" spans="1:12" x14ac:dyDescent="0.25">
      <c r="A160" s="18">
        <v>2169</v>
      </c>
      <c r="B160" s="16" t="s">
        <v>264</v>
      </c>
      <c r="C160" s="8" t="s">
        <v>13</v>
      </c>
      <c r="D160" s="8" t="s">
        <v>14</v>
      </c>
      <c r="E160" s="9" t="s">
        <v>24</v>
      </c>
      <c r="F160" s="19" t="s">
        <v>265</v>
      </c>
      <c r="G160" s="9" t="s">
        <v>172</v>
      </c>
      <c r="H160" s="8" t="s">
        <v>45</v>
      </c>
      <c r="I160" s="20">
        <v>46084</v>
      </c>
      <c r="J160" s="13">
        <f t="shared" ca="1" si="4"/>
        <v>24</v>
      </c>
      <c r="L160" s="20">
        <v>38656</v>
      </c>
    </row>
    <row r="161" spans="1:12" x14ac:dyDescent="0.25">
      <c r="A161" s="18">
        <v>3084</v>
      </c>
      <c r="B161" s="16" t="s">
        <v>266</v>
      </c>
      <c r="C161" s="8" t="s">
        <v>20</v>
      </c>
      <c r="D161" s="8" t="s">
        <v>14</v>
      </c>
      <c r="E161" s="9" t="s">
        <v>15</v>
      </c>
      <c r="F161" s="19" t="s">
        <v>116</v>
      </c>
      <c r="G161" s="9" t="s">
        <v>17</v>
      </c>
      <c r="H161" s="8" t="s">
        <v>39</v>
      </c>
      <c r="I161" s="20">
        <v>45929</v>
      </c>
      <c r="J161" s="13">
        <f t="shared" ca="1" si="4"/>
        <v>179</v>
      </c>
      <c r="K161" s="27"/>
      <c r="L161" s="28"/>
    </row>
    <row r="162" spans="1:12" x14ac:dyDescent="0.25">
      <c r="A162" s="18">
        <v>3083</v>
      </c>
      <c r="B162" s="16" t="s">
        <v>267</v>
      </c>
      <c r="C162" s="8" t="s">
        <v>20</v>
      </c>
      <c r="D162" s="8" t="s">
        <v>14</v>
      </c>
      <c r="E162" s="9" t="s">
        <v>15</v>
      </c>
      <c r="F162" s="19" t="s">
        <v>37</v>
      </c>
      <c r="G162" s="9" t="s">
        <v>17</v>
      </c>
      <c r="H162" s="8" t="s">
        <v>39</v>
      </c>
      <c r="I162" s="20">
        <v>45903</v>
      </c>
      <c r="J162" s="13">
        <f t="shared" ca="1" si="4"/>
        <v>205</v>
      </c>
      <c r="K162" s="27"/>
      <c r="L162" s="20">
        <v>38201</v>
      </c>
    </row>
    <row r="163" spans="1:12" x14ac:dyDescent="0.25">
      <c r="A163" s="18">
        <v>2167</v>
      </c>
      <c r="B163" s="16" t="s">
        <v>268</v>
      </c>
      <c r="C163" s="8" t="s">
        <v>13</v>
      </c>
      <c r="D163" s="8" t="s">
        <v>14</v>
      </c>
      <c r="E163" s="9" t="s">
        <v>24</v>
      </c>
      <c r="F163" s="19" t="s">
        <v>269</v>
      </c>
      <c r="G163" s="9" t="s">
        <v>68</v>
      </c>
      <c r="H163" s="8" t="s">
        <v>34</v>
      </c>
      <c r="I163" s="20">
        <v>46049</v>
      </c>
      <c r="J163" s="13">
        <f t="shared" ca="1" si="4"/>
        <v>59</v>
      </c>
      <c r="K163" s="27"/>
      <c r="L163" s="20">
        <v>37141</v>
      </c>
    </row>
    <row r="164" spans="1:12" x14ac:dyDescent="0.25">
      <c r="A164" s="18">
        <v>2127</v>
      </c>
      <c r="B164" s="16" t="s">
        <v>270</v>
      </c>
      <c r="C164" s="8" t="s">
        <v>20</v>
      </c>
      <c r="D164" s="8" t="s">
        <v>14</v>
      </c>
      <c r="E164" s="9" t="s">
        <v>24</v>
      </c>
      <c r="F164" s="11" t="s">
        <v>95</v>
      </c>
      <c r="G164" s="9" t="s">
        <v>42</v>
      </c>
      <c r="H164" s="8" t="s">
        <v>26</v>
      </c>
      <c r="I164" s="20">
        <v>45805</v>
      </c>
      <c r="J164" s="22">
        <f t="shared" ca="1" si="4"/>
        <v>90</v>
      </c>
      <c r="K164" s="20">
        <v>45895</v>
      </c>
      <c r="L164" s="20">
        <v>33206</v>
      </c>
    </row>
    <row r="165" spans="1:12" x14ac:dyDescent="0.25">
      <c r="A165" s="18">
        <v>2118</v>
      </c>
      <c r="B165" s="16" t="s">
        <v>271</v>
      </c>
      <c r="C165" s="8" t="s">
        <v>20</v>
      </c>
      <c r="D165" s="8" t="s">
        <v>14</v>
      </c>
      <c r="E165" s="9" t="s">
        <v>24</v>
      </c>
      <c r="F165" s="11" t="s">
        <v>272</v>
      </c>
      <c r="G165" s="9" t="s">
        <v>42</v>
      </c>
      <c r="H165" s="8" t="s">
        <v>30</v>
      </c>
      <c r="I165" s="20">
        <v>45758</v>
      </c>
      <c r="J165" s="13">
        <f t="shared" ca="1" si="4"/>
        <v>136</v>
      </c>
      <c r="K165" s="20">
        <v>45894</v>
      </c>
      <c r="L165" s="20">
        <v>37256</v>
      </c>
    </row>
    <row r="166" spans="1:12" x14ac:dyDescent="0.25">
      <c r="A166" s="25"/>
      <c r="B166" s="16" t="s">
        <v>273</v>
      </c>
      <c r="C166" s="8" t="s">
        <v>20</v>
      </c>
      <c r="D166" s="8" t="s">
        <v>14</v>
      </c>
      <c r="E166" s="9" t="s">
        <v>24</v>
      </c>
      <c r="F166" s="11" t="s">
        <v>111</v>
      </c>
      <c r="G166" s="9" t="s">
        <v>38</v>
      </c>
      <c r="H166" s="8" t="s">
        <v>30</v>
      </c>
      <c r="I166" s="27"/>
      <c r="J166" s="34"/>
      <c r="K166" s="27"/>
      <c r="L166" s="20">
        <v>29426</v>
      </c>
    </row>
    <row r="167" spans="1:12" x14ac:dyDescent="0.25">
      <c r="A167" s="18">
        <v>3075</v>
      </c>
      <c r="B167" s="16" t="s">
        <v>274</v>
      </c>
      <c r="C167" s="8" t="s">
        <v>13</v>
      </c>
      <c r="D167" s="8" t="s">
        <v>14</v>
      </c>
      <c r="E167" s="9" t="s">
        <v>15</v>
      </c>
      <c r="F167" s="19" t="s">
        <v>111</v>
      </c>
      <c r="G167" s="9" t="s">
        <v>57</v>
      </c>
      <c r="H167" s="8" t="s">
        <v>18</v>
      </c>
      <c r="I167" s="20">
        <v>45798</v>
      </c>
      <c r="J167" s="13">
        <f t="shared" ref="J167:J180" ca="1" si="5">IF(K167&lt;&gt;"",K167-I167,TODAY()-I167)</f>
        <v>310</v>
      </c>
      <c r="K167" s="27"/>
      <c r="L167" s="20">
        <v>34656</v>
      </c>
    </row>
    <row r="168" spans="1:12" x14ac:dyDescent="0.25">
      <c r="A168" s="18">
        <v>2150</v>
      </c>
      <c r="B168" s="16" t="s">
        <v>275</v>
      </c>
      <c r="C168" s="8" t="s">
        <v>13</v>
      </c>
      <c r="D168" s="8" t="s">
        <v>14</v>
      </c>
      <c r="E168" s="9" t="s">
        <v>24</v>
      </c>
      <c r="F168" s="19" t="s">
        <v>170</v>
      </c>
      <c r="G168" s="9" t="s">
        <v>29</v>
      </c>
      <c r="H168" s="8" t="s">
        <v>74</v>
      </c>
      <c r="I168" s="20">
        <v>45924</v>
      </c>
      <c r="J168" s="13">
        <f t="shared" ca="1" si="5"/>
        <v>184</v>
      </c>
      <c r="K168" s="27"/>
      <c r="L168" s="20">
        <v>36967</v>
      </c>
    </row>
    <row r="169" spans="1:12" x14ac:dyDescent="0.25">
      <c r="A169" s="18">
        <v>3063</v>
      </c>
      <c r="B169" s="16" t="s">
        <v>276</v>
      </c>
      <c r="C169" s="8" t="s">
        <v>13</v>
      </c>
      <c r="D169" s="8" t="s">
        <v>14</v>
      </c>
      <c r="E169" s="9" t="s">
        <v>15</v>
      </c>
      <c r="F169" s="19" t="s">
        <v>21</v>
      </c>
      <c r="G169" s="9" t="s">
        <v>17</v>
      </c>
      <c r="H169" s="11" t="s">
        <v>45</v>
      </c>
      <c r="I169" s="20">
        <v>45664</v>
      </c>
      <c r="J169" s="13">
        <f t="shared" ca="1" si="5"/>
        <v>444</v>
      </c>
      <c r="K169" s="27"/>
      <c r="L169" s="20">
        <v>37933</v>
      </c>
    </row>
    <row r="170" spans="1:12" x14ac:dyDescent="0.25">
      <c r="A170" s="18">
        <v>2064</v>
      </c>
      <c r="B170" s="16" t="s">
        <v>277</v>
      </c>
      <c r="C170" s="8" t="s">
        <v>20</v>
      </c>
      <c r="D170" s="8" t="s">
        <v>14</v>
      </c>
      <c r="E170" s="9" t="s">
        <v>24</v>
      </c>
      <c r="F170" s="11" t="s">
        <v>25</v>
      </c>
      <c r="G170" s="9" t="s">
        <v>42</v>
      </c>
      <c r="H170" s="8" t="s">
        <v>30</v>
      </c>
      <c r="I170" s="20">
        <v>45506</v>
      </c>
      <c r="J170" s="13">
        <f t="shared" ca="1" si="5"/>
        <v>223</v>
      </c>
      <c r="K170" s="20">
        <v>45729</v>
      </c>
      <c r="L170" s="20">
        <v>35131</v>
      </c>
    </row>
    <row r="171" spans="1:12" x14ac:dyDescent="0.25">
      <c r="A171" s="18">
        <v>2083</v>
      </c>
      <c r="B171" s="16" t="s">
        <v>278</v>
      </c>
      <c r="C171" s="8" t="s">
        <v>20</v>
      </c>
      <c r="D171" s="8" t="s">
        <v>14</v>
      </c>
      <c r="E171" s="9" t="s">
        <v>24</v>
      </c>
      <c r="F171" s="35" t="s">
        <v>279</v>
      </c>
      <c r="G171" s="9" t="s">
        <v>42</v>
      </c>
      <c r="H171" s="8" t="s">
        <v>30</v>
      </c>
      <c r="I171" s="20">
        <v>45581</v>
      </c>
      <c r="J171" s="13">
        <f t="shared" ca="1" si="5"/>
        <v>44</v>
      </c>
      <c r="K171" s="20">
        <v>45625</v>
      </c>
      <c r="L171" s="20">
        <v>35095</v>
      </c>
    </row>
    <row r="172" spans="1:12" x14ac:dyDescent="0.25">
      <c r="A172" s="36">
        <v>2160</v>
      </c>
      <c r="B172" s="16" t="s">
        <v>280</v>
      </c>
      <c r="C172" s="8" t="s">
        <v>20</v>
      </c>
      <c r="D172" s="8" t="s">
        <v>14</v>
      </c>
      <c r="E172" s="9" t="s">
        <v>15</v>
      </c>
      <c r="F172" s="19" t="s">
        <v>111</v>
      </c>
      <c r="G172" s="9" t="s">
        <v>17</v>
      </c>
      <c r="H172" s="8" t="s">
        <v>18</v>
      </c>
      <c r="I172" s="21">
        <v>45992</v>
      </c>
      <c r="J172" s="13">
        <f t="shared" ca="1" si="5"/>
        <v>116</v>
      </c>
      <c r="K172" s="27"/>
      <c r="L172" s="20">
        <v>35856</v>
      </c>
    </row>
    <row r="173" spans="1:12" x14ac:dyDescent="0.25">
      <c r="A173" s="18">
        <v>2100</v>
      </c>
      <c r="B173" s="16" t="s">
        <v>281</v>
      </c>
      <c r="C173" s="8" t="s">
        <v>20</v>
      </c>
      <c r="D173" s="8" t="s">
        <v>14</v>
      </c>
      <c r="E173" s="9" t="s">
        <v>24</v>
      </c>
      <c r="F173" s="11" t="s">
        <v>33</v>
      </c>
      <c r="G173" s="9" t="s">
        <v>42</v>
      </c>
      <c r="H173" s="8" t="s">
        <v>26</v>
      </c>
      <c r="I173" s="20">
        <v>45688</v>
      </c>
      <c r="J173" s="13">
        <f t="shared" ca="1" si="5"/>
        <v>152</v>
      </c>
      <c r="K173" s="20">
        <v>45840</v>
      </c>
      <c r="L173" s="20">
        <v>34920</v>
      </c>
    </row>
    <row r="174" spans="1:12" x14ac:dyDescent="0.25">
      <c r="A174" s="18">
        <v>3086</v>
      </c>
      <c r="B174" s="16" t="s">
        <v>282</v>
      </c>
      <c r="C174" s="8" t="s">
        <v>13</v>
      </c>
      <c r="D174" s="8" t="s">
        <v>14</v>
      </c>
      <c r="E174" s="9" t="s">
        <v>15</v>
      </c>
      <c r="F174" s="11" t="s">
        <v>25</v>
      </c>
      <c r="G174" s="9" t="s">
        <v>57</v>
      </c>
      <c r="H174" s="8" t="s">
        <v>49</v>
      </c>
      <c r="I174" s="20">
        <v>45943</v>
      </c>
      <c r="J174" s="13">
        <f t="shared" ca="1" si="5"/>
        <v>165</v>
      </c>
      <c r="K174" s="27"/>
      <c r="L174" s="20">
        <v>37163</v>
      </c>
    </row>
    <row r="175" spans="1:12" x14ac:dyDescent="0.25">
      <c r="A175" s="18">
        <v>3085</v>
      </c>
      <c r="B175" s="16" t="s">
        <v>283</v>
      </c>
      <c r="C175" s="8" t="s">
        <v>13</v>
      </c>
      <c r="D175" s="8" t="s">
        <v>14</v>
      </c>
      <c r="E175" s="9" t="s">
        <v>15</v>
      </c>
      <c r="F175" s="19" t="s">
        <v>111</v>
      </c>
      <c r="G175" s="9" t="s">
        <v>81</v>
      </c>
      <c r="H175" s="8" t="s">
        <v>22</v>
      </c>
      <c r="I175" s="20">
        <v>45929</v>
      </c>
      <c r="J175" s="13">
        <f t="shared" ca="1" si="5"/>
        <v>179</v>
      </c>
      <c r="K175" s="27"/>
      <c r="L175" s="20">
        <v>39046</v>
      </c>
    </row>
    <row r="176" spans="1:12" x14ac:dyDescent="0.25">
      <c r="A176" s="18">
        <v>2138</v>
      </c>
      <c r="B176" s="16" t="s">
        <v>284</v>
      </c>
      <c r="C176" s="8" t="s">
        <v>20</v>
      </c>
      <c r="D176" s="8" t="s">
        <v>14</v>
      </c>
      <c r="E176" s="9" t="s">
        <v>24</v>
      </c>
      <c r="F176" s="11" t="s">
        <v>242</v>
      </c>
      <c r="G176" s="9" t="s">
        <v>42</v>
      </c>
      <c r="H176" s="8" t="s">
        <v>77</v>
      </c>
      <c r="I176" s="20">
        <v>45882</v>
      </c>
      <c r="J176" s="13">
        <f t="shared" ca="1" si="5"/>
        <v>44</v>
      </c>
      <c r="K176" s="20">
        <v>45926</v>
      </c>
      <c r="L176" s="28"/>
    </row>
    <row r="177" spans="1:12" x14ac:dyDescent="0.25">
      <c r="A177" s="18">
        <v>2027</v>
      </c>
      <c r="B177" s="16" t="s">
        <v>285</v>
      </c>
      <c r="C177" s="8" t="s">
        <v>20</v>
      </c>
      <c r="D177" s="8" t="s">
        <v>14</v>
      </c>
      <c r="E177" s="9" t="s">
        <v>24</v>
      </c>
      <c r="F177" s="11" t="s">
        <v>286</v>
      </c>
      <c r="G177" s="9" t="s">
        <v>29</v>
      </c>
      <c r="H177" s="8" t="s">
        <v>30</v>
      </c>
      <c r="I177" s="20">
        <v>45323</v>
      </c>
      <c r="J177" s="13">
        <f t="shared" ca="1" si="5"/>
        <v>236</v>
      </c>
      <c r="K177" s="20">
        <v>45559</v>
      </c>
      <c r="L177" s="28"/>
    </row>
    <row r="178" spans="1:12" x14ac:dyDescent="0.25">
      <c r="A178" s="18">
        <v>2072</v>
      </c>
      <c r="B178" s="16" t="s">
        <v>287</v>
      </c>
      <c r="C178" s="8" t="s">
        <v>13</v>
      </c>
      <c r="D178" s="8" t="s">
        <v>14</v>
      </c>
      <c r="E178" s="9" t="s">
        <v>24</v>
      </c>
      <c r="F178" s="19" t="s">
        <v>288</v>
      </c>
      <c r="G178" s="9" t="s">
        <v>51</v>
      </c>
      <c r="H178" s="8" t="s">
        <v>45</v>
      </c>
      <c r="I178" s="20">
        <v>45546</v>
      </c>
      <c r="J178" s="13">
        <f t="shared" ca="1" si="5"/>
        <v>562</v>
      </c>
      <c r="K178" s="27"/>
      <c r="L178" s="27"/>
    </row>
    <row r="179" spans="1:12" x14ac:dyDescent="0.25">
      <c r="A179" s="18">
        <v>12</v>
      </c>
      <c r="B179" s="16" t="s">
        <v>289</v>
      </c>
      <c r="C179" s="8" t="s">
        <v>13</v>
      </c>
      <c r="D179" s="8" t="s">
        <v>14</v>
      </c>
      <c r="E179" s="9" t="s">
        <v>24</v>
      </c>
      <c r="F179" s="11" t="s">
        <v>290</v>
      </c>
      <c r="G179" s="9" t="s">
        <v>17</v>
      </c>
      <c r="H179" s="8" t="s">
        <v>45</v>
      </c>
      <c r="I179" s="20">
        <v>45110</v>
      </c>
      <c r="J179" s="13">
        <f t="shared" ca="1" si="5"/>
        <v>998</v>
      </c>
      <c r="K179" s="27"/>
      <c r="L179" s="27"/>
    </row>
    <row r="180" spans="1:12" x14ac:dyDescent="0.25">
      <c r="A180" s="18">
        <v>2108</v>
      </c>
      <c r="B180" s="16" t="s">
        <v>291</v>
      </c>
      <c r="C180" s="8" t="s">
        <v>13</v>
      </c>
      <c r="D180" s="8" t="s">
        <v>14</v>
      </c>
      <c r="E180" s="9" t="s">
        <v>24</v>
      </c>
      <c r="F180" s="8" t="s">
        <v>170</v>
      </c>
      <c r="G180" s="9" t="s">
        <v>42</v>
      </c>
      <c r="H180" s="8" t="s">
        <v>77</v>
      </c>
      <c r="I180" s="20">
        <v>45706</v>
      </c>
      <c r="J180" s="22">
        <f t="shared" ca="1" si="5"/>
        <v>402</v>
      </c>
      <c r="K180" s="27"/>
    </row>
  </sheetData>
  <conditionalFormatting sqref="E1:F1 F178 E2:E54 E58:E177">
    <cfRule type="cellIs" dxfId="14" priority="13" operator="equal">
      <formula>"NT-JX"</formula>
    </cfRule>
    <cfRule type="cellIs" dxfId="13" priority="14" operator="equal">
      <formula>"NT-CH"</formula>
    </cfRule>
    <cfRule type="cellIs" dxfId="12" priority="15" operator="equal">
      <formula>"NT"</formula>
    </cfRule>
  </conditionalFormatting>
  <conditionalFormatting sqref="J2:J6 J8:J1048576">
    <cfRule type="cellIs" dxfId="11" priority="9" operator="between">
      <formula>80</formula>
      <formula>90</formula>
    </cfRule>
    <cfRule type="cellIs" dxfId="10" priority="10" operator="between">
      <formula>46</formula>
      <formula>79</formula>
    </cfRule>
    <cfRule type="cellIs" dxfId="9" priority="11" operator="between">
      <formula>35</formula>
      <formula>45</formula>
    </cfRule>
    <cfRule type="cellIs" dxfId="8" priority="12" operator="between">
      <formula>1</formula>
      <formula>34</formula>
    </cfRule>
  </conditionalFormatting>
  <conditionalFormatting sqref="E55:E57">
    <cfRule type="cellIs" dxfId="7" priority="6" operator="equal">
      <formula>"NT-JX"</formula>
    </cfRule>
    <cfRule type="cellIs" dxfId="6" priority="7" operator="equal">
      <formula>"NT-CH"</formula>
    </cfRule>
    <cfRule type="cellIs" dxfId="5" priority="8" operator="equal">
      <formula>"NT"</formula>
    </cfRule>
  </conditionalFormatting>
  <conditionalFormatting sqref="J2:J1048576">
    <cfRule type="cellIs" dxfId="4" priority="4" operator="greaterThan">
      <formula>375</formula>
    </cfRule>
    <cfRule type="cellIs" dxfId="3" priority="5" operator="between">
      <formula>355</formula>
      <formula>375</formula>
    </cfRule>
  </conditionalFormatting>
  <conditionalFormatting sqref="E178:E180">
    <cfRule type="cellIs" dxfId="2" priority="1" operator="equal">
      <formula>"NT-JX"</formula>
    </cfRule>
    <cfRule type="cellIs" dxfId="1" priority="2" operator="equal">
      <formula>"NT-CH"</formula>
    </cfRule>
    <cfRule type="cellIs" dxfId="0" priority="3" operator="equal">
      <formula>"NT"</formula>
    </cfRule>
  </conditionalFormatting>
  <dataValidations disablePrompts="1" count="9">
    <dataValidation type="list" allowBlank="1" showInputMessage="1" showErrorMessage="1" sqref="H2:H1048576" xr:uid="{1D9E933D-36D6-41D7-B09F-B63D2291507F}">
      <formula1>#REF!</formula1>
    </dataValidation>
    <dataValidation type="list" allowBlank="1" showInputMessage="1" showErrorMessage="1" sqref="G5:G10 G52:G54 G57:G59 G87 G108:G116 G118:G119 G157 G12:G17 G42:G48 G121:G127 G129:G151 G153:G155 G164:G177 G179:G180 G20:G40 G63:G68 G89:G106 G2:G3 G61 G71:G85 G159:G162" xr:uid="{BBBF28A6-CB19-405A-BF14-B60B795BBF5D}">
      <formula1>#REF!</formula1>
    </dataValidation>
    <dataValidation type="list" allowBlank="1" showInputMessage="1" showErrorMessage="1" sqref="E2:E93 E95:E180" xr:uid="{A11D76BF-8F1D-4726-B83C-201BDD5A5558}">
      <formula1>#REF!</formula1>
    </dataValidation>
    <dataValidation type="list" allowBlank="1" showInputMessage="1" showErrorMessage="1" sqref="G156 G117 G60 G152 G50 G107 G55:G56 G128 G88 G11 G163 G178 G41 G62 G18:G19 G158 G86 G120 G69" xr:uid="{7F56060E-C3B5-4120-A464-A8A84F332ECD}">
      <formula1>#REF!</formula1>
    </dataValidation>
    <dataValidation type="list" allowBlank="1" showInputMessage="1" showErrorMessage="1" sqref="D180:D1048576" xr:uid="{093BA011-7FCE-4611-9CA3-688FED9E69A9}">
      <formula1>#REF!</formula1>
    </dataValidation>
    <dataValidation type="list" allowBlank="1" showInputMessage="1" showErrorMessage="1" sqref="C178" xr:uid="{04F29C1D-B9D5-40EA-9114-A3C27E7A69C1}">
      <formula1>#REF!</formula1>
    </dataValidation>
    <dataValidation type="list" showInputMessage="1" showErrorMessage="1" sqref="E171 E45 E55:E57 E151:E153 E157:E158 E155 E146 E135:E137 E140:E143 E169 E129:E133 E108 E111:E112 E99:E101 E86:E89 E62:E63 E75 E92:E93 E166 E164 E48:E49 E77 E33:E34 E36:E41 E67 E126:E127 E8:E9 E4:E6 E51:E53 E14:E21 E23 E25 E28 E30:E31 E59:E60 E69:E70 E83:E84 E95:E97 E105:E106 E116 E118 E121 E123 E148 E161:E162 E174:E177" xr:uid="{406AFA6C-ED9B-486A-B3B6-A3A93F208208}">
      <formula1>#REF!</formula1>
    </dataValidation>
    <dataValidation type="list" showInputMessage="1" showErrorMessage="1" sqref="D2:D179" xr:uid="{F5B4ABD6-BB92-4EDA-9A0C-2F6D8B35F2CD}">
      <formula1>#REF!</formula1>
    </dataValidation>
    <dataValidation type="list" showInputMessage="1" showErrorMessage="1" sqref="C2:C177 C179:C1048576" xr:uid="{A8F84D64-6120-4664-B0E4-8D20991786D0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Vitor Souza Cruz</dc:creator>
  <cp:lastModifiedBy>Wesley Vitor Souza Cruz</cp:lastModifiedBy>
  <cp:lastPrinted>2026-03-27T12:06:39Z</cp:lastPrinted>
  <dcterms:created xsi:type="dcterms:W3CDTF">2026-03-27T11:39:28Z</dcterms:created>
  <dcterms:modified xsi:type="dcterms:W3CDTF">2026-03-27T12:06:52Z</dcterms:modified>
</cp:coreProperties>
</file>